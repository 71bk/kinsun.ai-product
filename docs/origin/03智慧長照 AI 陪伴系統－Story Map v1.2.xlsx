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_總覽" sheetId="1" r:id="rId5"/>
    <sheet state="visible" name="01_Story Map" sheetId="2" r:id="rId6"/>
    <sheet state="visible" name="02_Story Backlog" sheetId="3" r:id="rId7"/>
    <sheet state="visible" name="03_Wave1 Vertical Slice" sheetId="4" r:id="rId8"/>
    <sheet state="visible" name="04_Enablers_NFR" sheetId="5" r:id="rId9"/>
    <sheet state="visible" name="05_Demo Traceability" sheetId="6" r:id="rId10"/>
  </sheets>
  <definedNames>
    <definedName hidden="1" localSheetId="2" name="_xlnm._FilterDatabase">'02_Story Backlog'!$A$1:$N$43</definedName>
    <definedName hidden="1" localSheetId="4" name="_xlnm._FilterDatabase">'04_Enablers_NFR'!$A$1:$L$31</definedName>
    <definedName hidden="1" localSheetId="5" name="_xlnm._FilterDatabase">'05_Demo Traceability'!$A$1:$I$34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tc={0ea4c44e-de13-4260-b217-c49b2b76e83c}</author>
    <author>tc={282e44d8-7afd-4723-a816-654dbc355baf}</author>
    <author>tc={a0340f2b-1bac-4074-8ac5-7176b5502fa4}</author>
    <author>tc={c21d9052-a89b-4607-9cb1-7cd05c7c1a38}</author>
  </authors>
  <commentList>
    <comment authorId="0" xr:uid="{0ea4c44e-de13-4260-b217-c49b2b76e83c}" ref="B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讓照護者看得到摘要、事件並能修正
</t>
      </text>
    </comment>
    <comment authorId="1" xr:uid="{282e44d8-7afd-4723-a816-654dbc355baf}" ref="B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讓長者能說話、AI 能理解、記錄事件及記憶
</t>
      </text>
    </comment>
    <comment authorId="2" xr:uid="{a0340f2b-1bac-4074-8ac5-7176b5502fa4}" ref="B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加入 RAG、通知、陪伴需求及主動陪伴
</t>
      </text>
    </comment>
    <comment authorId="3" xr:uid="{c21d9052-a89b-4607-9cb1-7cd05c7c1a38}" ref="B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加入遊戲、積分、語言優化及持續改善
</t>
      </text>
    </comment>
  </commentList>
</comments>
</file>

<file path=xl/sharedStrings.xml><?xml version="1.0" encoding="utf-8"?>
<sst xmlns="http://schemas.openxmlformats.org/spreadsheetml/2006/main" count="1486" uniqueCount="912">
  <si>
    <t>Story Map｜Backbone × Implementation Waves</t>
  </si>
  <si>
    <t>智慧長照 AI 陪伴系統｜Story Map v1.2</t>
  </si>
  <si>
    <t>Story ID</t>
  </si>
  <si>
    <t>第一條端到端 Vertical Slice｜核心記憶＋日照概覽＋最小專業照護者閉環</t>
  </si>
  <si>
    <t>EPIC</t>
  </si>
  <si>
    <t>主要角色</t>
  </si>
  <si>
    <t>Backbone Activity</t>
  </si>
  <si>
    <t>Backbone 依使用者價值流排列；每個 Product Story 只有一個主要落點。紫色列是最先打通的 Demo 薄切片，會重複引用部分 Wave 1／2 故事，目的在於第一條流程即覆蓋命題 A／B／C。</t>
  </si>
  <si>
    <t>Story 標題</t>
  </si>
  <si>
    <t>使用者故事／價值</t>
  </si>
  <si>
    <t>Product Priority</t>
  </si>
  <si>
    <t>Implementation Wave</t>
  </si>
  <si>
    <t>命題對應</t>
  </si>
  <si>
    <t>目標：先用最薄的 Wave 2 畫面把 A／B／C 串起來。Gate 通過條件：林阿嬤完成語音、事件、記憶、Graph、再次引用與每日摘要；日照照服員從林阿嬤、張阿姨概覽進入林阿嬤詳情並覆核。居服員派案入口與家屬 App／Web 報表、LINE／Email 通知列為 Wave 3／權限技術證據，不要求重跑林阿嬤主線。</t>
  </si>
  <si>
    <t>Demo Gate 1</t>
  </si>
  <si>
    <t>關鍵驗收 1</t>
  </si>
  <si>
    <t>關鍵驗收 2</t>
  </si>
  <si>
    <t>實作層級</t>
  </si>
  <si>
    <t>主要相依</t>
  </si>
  <si>
    <t>1. 設定與同意</t>
  </si>
  <si>
    <t>備註／切片策略</t>
  </si>
  <si>
    <t>2. 開始語音互動</t>
  </si>
  <si>
    <t>US-A01</t>
  </si>
  <si>
    <t>產品策略：完整 Target Architecture 一次規劃到位；實作依風險與相依順序分 Wave 交付。第一條可演示薄切片跨 Wave 1 與最小 Wave 2，確保長者語音 → 事件／確認式記憶 → 再次引用 → 每日摘要 → 照護者時間軸與覆核能同時證明命題 A／B／C。</t>
  </si>
  <si>
    <t>3. 理解與安全回應</t>
  </si>
  <si>
    <t>EPIC A｜長者語音互動陪伴</t>
  </si>
  <si>
    <t>長者</t>
  </si>
  <si>
    <t>4. 擷取生活事件</t>
  </si>
  <si>
    <t>開始語音互動</t>
  </si>
  <si>
    <t>5. 確認與管理記憶</t>
  </si>
  <si>
    <t>低操作負擔的語音入口</t>
  </si>
  <si>
    <t>身為長者，我希望用一個明顯的大按鈕就能開始說話，讓我不必打字或操作複雜介面。</t>
  </si>
  <si>
    <t>MUST SHIP</t>
  </si>
  <si>
    <t>6. 再次引用與生活回顧</t>
  </si>
  <si>
    <t>Wave 1</t>
  </si>
  <si>
    <t>核心 A｜語音互動陪伴</t>
  </si>
  <si>
    <t>是</t>
  </si>
  <si>
    <t>7. 摘要與專業照護者檢視</t>
  </si>
  <si>
    <t>8. 覆核與關懷行動</t>
  </si>
  <si>
    <t>9. 家屬報表、通知與主動陪伴</t>
  </si>
  <si>
    <t>10. 參與與持續改善</t>
  </si>
  <si>
    <t>首頁可在一個主要操作內開始錄音。</t>
  </si>
  <si>
    <t>錄音、處理、播放與錯誤狀態都有清楚的視覺及語音提示。</t>
  </si>
  <si>
    <t>主要使用者任務</t>
  </si>
  <si>
    <t>US-A06</t>
  </si>
  <si>
    <t>先做最薄可演示版本，再依原 Wave 擴充完整驗收</t>
  </si>
  <si>
    <t>US-A02</t>
  </si>
  <si>
    <t>建立 Persona
設定資料用途、主動陪伴與頻率</t>
  </si>
  <si>
    <t>順序</t>
  </si>
  <si>
    <t>開始錄音
辨識語言與語音
播放自然回覆</t>
  </si>
  <si>
    <t>Actor</t>
  </si>
  <si>
    <t>組合必要 Context
回答或安全降級
查詢可信知識</t>
  </si>
  <si>
    <t>國語與臺語語音辨識</t>
  </si>
  <si>
    <t>使用者／系統步驟</t>
  </si>
  <si>
    <t>核心目標</t>
  </si>
  <si>
    <t>身為習慣國語、臺語或國臺混語的長者，我希望系統聽得懂我的說法，讓我不必刻意改用標準國語。</t>
  </si>
  <si>
    <t>抽取生活／社交事件
建立候選記憶</t>
  </si>
  <si>
    <t>系統行為</t>
  </si>
  <si>
    <t>Product Stories</t>
  </si>
  <si>
    <t>Stories／Requirements</t>
  </si>
  <si>
    <t>詢問是否保存
更正、停用、刪除</t>
  </si>
  <si>
    <t>主要元件／Agent</t>
  </si>
  <si>
    <t>Enablers／NFR</t>
  </si>
  <si>
    <t>檢索已確認記憶
查詢近期生活與時間軸</t>
  </si>
  <si>
    <t>資料／狀態</t>
  </si>
  <si>
    <t>交付 Gate</t>
  </si>
  <si>
    <t>完成證據</t>
  </si>
  <si>
    <t>系統可依語言偏好或自動判斷選擇適當 ASR 路徑。</t>
  </si>
  <si>
    <t>產生每日摘要
查看日照概覽、居服派案與長者詳情</t>
  </si>
  <si>
    <t>失敗／安全處理</t>
  </si>
  <si>
    <t>Demo 測試集至少涵蓋國語、臺語及一組國臺混語。</t>
  </si>
  <si>
    <t>命題範圍</t>
  </si>
  <si>
    <t>US-A01；TE-VO01；TE-I01</t>
  </si>
  <si>
    <t>Owner</t>
  </si>
  <si>
    <t>Story Map 落點</t>
  </si>
  <si>
    <t>US-A03</t>
  </si>
  <si>
    <t>修正事件／訊號
建立關懷待辦與追蹤</t>
  </si>
  <si>
    <t>第一條 Demo 證據</t>
  </si>
  <si>
    <t>發布家屬報表與通知
判斷時機、排序話題、追蹤</t>
  </si>
  <si>
    <t>進入虛擬 Persona 並確認資料用途</t>
  </si>
  <si>
    <t>完成判定</t>
  </si>
  <si>
    <t>載入語言、稱呼、記憶與家屬通知同意</t>
  </si>
  <si>
    <t>遊戲、積分、題庫
品質評估與回饋</t>
  </si>
  <si>
    <t>US-A06；NFR-H06</t>
  </si>
  <si>
    <t>Identity／Consent</t>
  </si>
  <si>
    <t>persona_id、consent_version</t>
  </si>
  <si>
    <t>同意狀態可回讀；僅使用模擬資料</t>
  </si>
  <si>
    <t>拒絕長期記憶時仍可繼續基本陪伴</t>
  </si>
  <si>
    <t>核心語音＋事件＋確認式記憶＋Graph 再次引用</t>
  </si>
  <si>
    <t>Demo Gate 1
跨 Wave 薄切片</t>
  </si>
  <si>
    <t>按一次大按鈕開始說話</t>
  </si>
  <si>
    <t>顯示錄音狀態並取得語音</t>
  </si>
  <si>
    <t>Web／Audio Capture</t>
  </si>
  <si>
    <t>audio_session_id</t>
  </si>
  <si>
    <t>[US-A06] 分層同意與資料用途控制</t>
  </si>
  <si>
    <t>符合語言偏好的語音回覆</t>
  </si>
  <si>
    <t>桌面與行動裝置均可完成</t>
  </si>
  <si>
    <t>[US-A01] 低操作負擔的語音入口
[US-A02] 國語與臺語語音辨識
[US-A03] 符合語言偏好的語音回覆
[US-A05] 對話失敗的安全降級</t>
  </si>
  <si>
    <t>未授權麥克風時白話引導</t>
  </si>
  <si>
    <t>身為長者，我希望 AI 用我熟悉的語言、稱呼與回覆長度回應，讓對話自然且容易理解。</t>
  </si>
  <si>
    <t>系統</t>
  </si>
  <si>
    <t>[US-A04] 情境感知對話</t>
  </si>
  <si>
    <t>辨識國語／臺語／混語內容</t>
  </si>
  <si>
    <t>Speech Router 選擇 ASR 並輸出 final transcript</t>
  </si>
  <si>
    <t>[US-B01] 自動擷取結構化生活與社交事件
[US-D01] 產生候選記憶</t>
  </si>
  <si>
    <t>US-A02；TE-VO01</t>
  </si>
  <si>
    <t>Speech Router／ASR</t>
  </si>
  <si>
    <t>[US-B03] 照護者修正與覆核
[US-D02] 確認後才保存</t>
  </si>
  <si>
    <t>transcript、confidence、model_version</t>
  </si>
  <si>
    <t>[US-B04] 事件時間軸
[US-D03] 記憶檢索與個人化回應</t>
  </si>
  <si>
    <t>Persona 可設定主要語言、稱呼方式及預設回覆長度。</t>
  </si>
  <si>
    <t>回覆預設不超過三個重點，避免過長語音造成理解負擔。</t>
  </si>
  <si>
    <t>固定語音測試集可重跑；保留關鍵人物與日期</t>
  </si>
  <si>
    <t>低信心時要求重說，不假裝理解</t>
  </si>
  <si>
    <t>[US-B02] 每日 AI 摘要
[US-C01] 專業照護者概覽與派案入口（薄版本）
[US-C02] 長者詳情頁</t>
  </si>
  <si>
    <t>US-A04</t>
  </si>
  <si>
    <t>路由至 Companion 與 Memory 流程</t>
  </si>
  <si>
    <t>Orchestrator 依版本化 Intent／Policy 執行固定節點</t>
  </si>
  <si>
    <t>理解與安全回應</t>
  </si>
  <si>
    <t>TE-J01；TE-MA01</t>
  </si>
  <si>
    <t>情境感知對話</t>
  </si>
  <si>
    <t>Orchestrator</t>
  </si>
  <si>
    <t>身為長者，我希望 AI 能理解現在的時間、近期事件與我已確認的偏好，讓它不像固定腳本。</t>
  </si>
  <si>
    <t>trace_id、intent、policy_version</t>
  </si>
  <si>
    <t>單輪同步 Agent 步驟不超過 3</t>
  </si>
  <si>
    <t>逾時或節點失敗走安全降級</t>
  </si>
  <si>
    <t>AI</t>
  </si>
  <si>
    <t>每輪只注入與當前問題相關的時間、情境、近期摘要及已確認記憶。</t>
  </si>
  <si>
    <t>未確認的候選記憶及陪伴需求推估不得當成事實使用。</t>
  </si>
  <si>
    <t>記憶閉環可重跑</t>
  </si>
  <si>
    <t>產生簡短、符合語言偏好的回覆</t>
  </si>
  <si>
    <t>US-D03；TE-J02</t>
  </si>
  <si>
    <t>只注入必要情境與已確認記憶</t>
  </si>
  <si>
    <t>核心 A｜語音陪伴</t>
  </si>
  <si>
    <t>US-A03；US-A04；TE-J02</t>
  </si>
  <si>
    <t>開始語音互動＋理解與安全回應</t>
  </si>
  <si>
    <t>US-A05</t>
  </si>
  <si>
    <t>Companion Agent</t>
  </si>
  <si>
    <t>Wave 1
核心記憶</t>
  </si>
  <si>
    <t>國語／臺語對話與第二輪記憶引用</t>
  </si>
  <si>
    <t>context_bundle、draft_response</t>
  </si>
  <si>
    <t>非固定腳本、可重試</t>
  </si>
  <si>
    <t>回覆不超過三個重點；未確認資訊不當事實</t>
  </si>
  <si>
    <t>對話失敗的安全降級</t>
  </si>
  <si>
    <t>無可信資料時明確說不知道</t>
  </si>
  <si>
    <t>Wave 3</t>
  </si>
  <si>
    <t>身為長者，我希望系統聽不清楚或服務暫時失敗時仍能簡單引導我，避免我以為自己操作錯誤。</t>
  </si>
  <si>
    <t>擷取生活事件與候選記憶</t>
  </si>
  <si>
    <t>RAG、陪伴需求、家屬報表與通知、主動陪伴與英文</t>
  </si>
  <si>
    <t>以固定 Schema 產出人物、活動、時間、關係與來源</t>
  </si>
  <si>
    <t>ASR、LLM 或 TTS 逾時時提供簡短且可重試的提示。</t>
  </si>
  <si>
    <t>US-B01；US-D01</t>
  </si>
  <si>
    <t>同一輪最多自動重試一次，不得無限循環。</t>
  </si>
  <si>
    <t>Memory Agent</t>
  </si>
  <si>
    <t>US-A01；TE-J04</t>
  </si>
  <si>
    <t>event_candidate、memory_candidate</t>
  </si>
  <si>
    <t>可信關懷閉環可追溯</t>
  </si>
  <si>
    <t>[US-D02] 確認後才保存
[US-D04] 更正、停用與刪除記憶</t>
  </si>
  <si>
    <t>Schema 驗證通過；保留來源句與信心</t>
  </si>
  <si>
    <t>用藥只記長者陳述，不推論正確性</t>
  </si>
  <si>
    <t>核心 B｜生活摘要</t>
  </si>
  <si>
    <t>[US-D03] 記憶檢索與個人化回應</t>
  </si>
  <si>
    <t>擷取事件＋摘要與照護者檢視</t>
  </si>
  <si>
    <t>設定與同意</t>
  </si>
  <si>
    <t>驗證輸出與醫療邊界</t>
  </si>
  <si>
    <t>分層同意與資料用途控制</t>
  </si>
  <si>
    <t>顯示、TTS、寫入前通過 Safety Evaluator</t>
  </si>
  <si>
    <t>身為長者，我希望知道系統會保存與分析什麼，並能分別決定是否同意。</t>
  </si>
  <si>
    <t>結構化事件與 AI 每日摘要</t>
  </si>
  <si>
    <t>可追溯來源事件</t>
  </si>
  <si>
    <t>TE-J03；TE-MA02；NFR-H04</t>
  </si>
  <si>
    <t>第一次使用前以白話說明錄音、逐字稿、生活事件、長期記憶、陪伴需求分析、家屬通知及資料保存期限。</t>
  </si>
  <si>
    <t>Safety Evaluator</t>
  </si>
  <si>
    <t>使用者可分別同意或拒絕長期記憶、陪伴需求分析與家屬通知。</t>
  </si>
  <si>
    <t>safety_result、reason_codes</t>
  </si>
  <si>
    <t>NFR-H01～H03</t>
  </si>
  <si>
    <t>安全規則測試通過並保存 trace</t>
  </si>
  <si>
    <t>US-A07</t>
  </si>
  <si>
    <t>修正最多一次，再失敗使用固定安全回覆</t>
  </si>
  <si>
    <t>RAG、陪伴需求、家屬通知、主動陪伴與英文</t>
  </si>
  <si>
    <t>再次引用與生活回顧</t>
  </si>
  <si>
    <t>週期生活回顧</t>
  </si>
  <si>
    <t>身為長者，我希望用語音詢問最近一週的生活情況，了解自己的睡眠、飲食、活動與社交紀錄。</t>
  </si>
  <si>
    <t>Wave 2
照護者閉環</t>
  </si>
  <si>
    <t>COMMITTED INNOVATION</t>
  </si>
  <si>
    <t>確認是否保存重要記憶</t>
  </si>
  <si>
    <t>Wave 2</t>
  </si>
  <si>
    <t>以短句詢問；接受、拒絕或稍後處理</t>
  </si>
  <si>
    <t>US-D02</t>
  </si>
  <si>
    <t>否</t>
  </si>
  <si>
    <t>Companion／Memory</t>
  </si>
  <si>
    <t>長者可用生活化語句查詢最近七日紀錄。</t>
  </si>
  <si>
    <t>confirmation_status</t>
  </si>
  <si>
    <t>結果同時提供文字及語音。</t>
  </si>
  <si>
    <t>拒絕時不建立正式記憶</t>
  </si>
  <si>
    <t>辨識不清時不寫入</t>
  </si>
  <si>
    <t>US-B02；US-D03</t>
  </si>
  <si>
    <t>依 Wave 交付</t>
  </si>
  <si>
    <t>US-B01</t>
  </si>
  <si>
    <t>核心 C｜照護者介面</t>
  </si>
  <si>
    <t>[US-B03] 照護者修正與覆核</t>
  </si>
  <si>
    <t>摘要檢視＋覆核與關懷行動</t>
  </si>
  <si>
    <t>EPIC B｜生活記錄與每日摘要</t>
  </si>
  <si>
    <t>詳情頁、時間軸、互動次數、修正</t>
  </si>
  <si>
    <t>照護者</t>
  </si>
  <si>
    <t>[US-A07] 週期生活回顧
[US-B04] 事件時間軸</t>
  </si>
  <si>
    <t>寫入交易事實並建立 Outbox</t>
  </si>
  <si>
    <t>權限正確、可操作</t>
  </si>
  <si>
    <t>RDS 保存正式狀態；同一事件具冪等鍵</t>
  </si>
  <si>
    <t>擷取生活事件</t>
  </si>
  <si>
    <t>[US-B02] 每日 AI 摘要
[US-C01] 專業照護者概覽與派案入口
[US-C02] 長者詳情頁</t>
  </si>
  <si>
    <t>Wave 4</t>
  </si>
  <si>
    <t>TE-GR03</t>
  </si>
  <si>
    <t>自動擷取結構化生活與社交事件</t>
  </si>
  <si>
    <t>RDS／Transactional Outbox</t>
  </si>
  <si>
    <t>event_id、memory_id、idempotency_key</t>
  </si>
  <si>
    <t>重送不產生重複資料</t>
  </si>
  <si>
    <t>身為照護者，我希望系統自動從對話中擷取飲食、活動、睡眠、用藥陳述、情緒表達與社交事件，減少人工抄寫。</t>
  </si>
  <si>
    <t>[US-C04] 關懷待辦與追蹤
[US-F02] 照護者候選行動建議</t>
  </si>
  <si>
    <t>失敗可重試並進入 DLQ</t>
  </si>
  <si>
    <t>遊戲、積分、本土低資源語言、ASR 適應與持續改善</t>
  </si>
  <si>
    <t>同步人物、事件與關係投影</t>
  </si>
  <si>
    <t>核心 B｜生活記錄與智慧摘要</t>
  </si>
  <si>
    <t>只把已確認或已覆核資料寫入 Graph DB</t>
  </si>
  <si>
    <t>TE-GR01；TE-GR02</t>
  </si>
  <si>
    <t>事件輸出通過固定 Schema 驗證後才能寫入正式資料庫。</t>
  </si>
  <si>
    <t>Graph Projector／Graph DB</t>
  </si>
  <si>
    <t>用藥欄位只記錄「長者陳述」，不得推論服藥是否正確。</t>
  </si>
  <si>
    <t>node、edge、source_event_id</t>
  </si>
  <si>
    <t>可跑兩層關係查詢並回到來源事件</t>
  </si>
  <si>
    <t>US-A02；TE-J03</t>
  </si>
  <si>
    <t>禁止未保護雙寫與跨 elder 查詢</t>
  </si>
  <si>
    <t>US-B02</t>
  </si>
  <si>
    <t>擴充能力不破壞核心</t>
  </si>
  <si>
    <t>下一輪對話被自然再次引用</t>
  </si>
  <si>
    <t>檢索少量相關已確認記憶後生成回覆</t>
  </si>
  <si>
    <t>Wave 3
可信關懷</t>
  </si>
  <si>
    <t>摘要與照護者檢視</t>
  </si>
  <si>
    <t>進階｜知識庫</t>
  </si>
  <si>
    <t>US-D03；US-A04</t>
  </si>
  <si>
    <t>每日 AI 摘要</t>
  </si>
  <si>
    <t>Memory Retrieval／Companion</t>
  </si>
  <si>
    <t>身為照護者，我希望每天看到一份精簡且可追溯的生活摘要，快速掌握長者近況。</t>
  </si>
  <si>
    <t>retrieved_memory_ids</t>
  </si>
  <si>
    <t>來源過濾與引用</t>
  </si>
  <si>
    <t>只引用同一位長者的 active 記憶</t>
  </si>
  <si>
    <t>[US-N01] 主動陪伴同意、時段與頻率偏好</t>
  </si>
  <si>
    <t>不足證據時不補完</t>
  </si>
  <si>
    <t>查不到時不虛構</t>
  </si>
  <si>
    <t>摘要涵蓋飲食、活動、睡眠、用藥陳述、社交互動及重要事件。</t>
  </si>
  <si>
    <t>沒有資料的欄位明確標示「未提及」。</t>
  </si>
  <si>
    <t>日終產生結構化生活摘要</t>
  </si>
  <si>
    <t>US-B01；US-B03</t>
  </si>
  <si>
    <t>彙整已記錄事件，未提及欄位保持未提及</t>
  </si>
  <si>
    <t>[US-E01] 生活化問題理解
[US-E02] 來源與適用範圍過濾
[US-E03] 有根據的衛教回答</t>
  </si>
  <si>
    <t>US-B03</t>
  </si>
  <si>
    <t>進階｜家屬通知</t>
  </si>
  <si>
    <t>[US-K01] 擷取社交連結與陪伴需求事件</t>
  </si>
  <si>
    <t>Summary Workflow</t>
  </si>
  <si>
    <t>家屬與主動陪伴</t>
  </si>
  <si>
    <t>daily_summary、source_event_ids</t>
  </si>
  <si>
    <t>確認與管理記憶</t>
  </si>
  <si>
    <t>實際送出一次摘要通知</t>
  </si>
  <si>
    <t>可追溯到事件；非人工填寫</t>
  </si>
  <si>
    <t>照護者修正與覆核</t>
  </si>
  <si>
    <t>同意、靜默與重送</t>
  </si>
  <si>
    <t>排程失敗重試並告警</t>
  </si>
  <si>
    <t>身為照護者，我希望修正 AI 擷取錯誤，讓後續摘要、記憶與陪伴需求分析更可靠。</t>
  </si>
  <si>
    <t>[US-K02] 產生可解釋的陪伴需求訊號
[US-K03] 照護者覆核與關懷規劃
[US-K04] 標準量表校正與人工施測
[US-N06] 照護者可追溯、核准與後續行動</t>
  </si>
  <si>
    <t>後台可編輯事件內容、事件類型、事件時間及 review_status。</t>
  </si>
  <si>
    <t>機構照服員</t>
  </si>
  <si>
    <t>進階｜事件時間軸</t>
  </si>
  <si>
    <t>可標記 ASR 聽錯、事件誤判、裝置故障、外出或其他排除原因。</t>
  </si>
  <si>
    <t>[US-C03] 家屬摘要發布與 LINE／Email 通知
[US-F01] 個人化關懷候選主題生成
[US-N02] 適當時機與不打擾判斷
[US-N03] 個人化話題排序與動態開場
[US-N04] 拒絕、換題、暫停與稍後再聊
[US-N05] 跨日追蹤與提醒
[US-N07] 主動互動回饋與個人化改善</t>
  </si>
  <si>
    <t>US-B01；TE-GR03</t>
  </si>
  <si>
    <t>查看幸福日照中心的多長者概覽並選擇林阿嬤</t>
  </si>
  <si>
    <t>只顯示同 tenant 且已授權的林阿嬤與張阿姨；顯示最後互動、互動次數、摘要狀態與待覆核數量</t>
  </si>
  <si>
    <t>US-B04</t>
  </si>
  <si>
    <t>US-C01；NFR-H01</t>
  </si>
  <si>
    <t>事件與摘要回到來源</t>
  </si>
  <si>
    <t>Caregiver Web／Authorization</t>
  </si>
  <si>
    <t>[US-E04] 檢索品質評估</t>
  </si>
  <si>
    <t>去重且可篩選</t>
  </si>
  <si>
    <t>elder_list、tenant_id、authorization_scope</t>
  </si>
  <si>
    <t>第一條 Demo Gate</t>
  </si>
  <si>
    <t>事件時間軸</t>
  </si>
  <si>
    <t>可由概覽點擊林阿嬤進入詳情；居家服務員／居服員帳號不顯示多長者概覽</t>
  </si>
  <si>
    <t>身為照護者，我希望按時間查看長者的重要互動與生活事件，快速理解變化。</t>
  </si>
  <si>
    <t>15 個 Product Stories 的跨 Wave 薄切片</t>
  </si>
  <si>
    <t>未授權或不同 tenant 長者不得出現在列表、搜尋與統計中</t>
  </si>
  <si>
    <t/>
  </si>
  <si>
    <t>可依日期、事件類型、來源及審查狀態篩選。</t>
  </si>
  <si>
    <t>TE-J01／J03／J04、MA01／MA02、GR01～GR03、VO01、H04／H06</t>
  </si>
  <si>
    <t>同一事件不因重新摘要而重複顯示。</t>
  </si>
  <si>
    <t>完整跑通 A／B／C＋失敗路徑</t>
  </si>
  <si>
    <t>[US-C03] 家屬摘要發布與 LINE／Email 通知
[US-C05] 家屬每日摘要與週／月報表中心
[US-F01] 個人化關懷候選主題生成
[US-N02] 適當時機與不打擾判斷
[US-N03] 個人化話題排序與動態開場
[US-N04] 拒絕、換題、暫停與稍後再聊
[US-N05] 跨日追蹤與提醒
[US-N07] 主動互動回饋與個人化改善</t>
  </si>
  <si>
    <t>查看長者詳情與事件時間軸</t>
  </si>
  <si>
    <t>顯示基本資料、摘要、互動次數、記憶與事件證據</t>
  </si>
  <si>
    <t>加分｜低資源語言</t>
  </si>
  <si>
    <t>US-C02；US-B04</t>
  </si>
  <si>
    <t>Caregiver Web</t>
  </si>
  <si>
    <t>US-C01</t>
  </si>
  <si>
    <t>elder_view、timeline</t>
  </si>
  <si>
    <t>核心穩定後展示客語／原民語</t>
  </si>
  <si>
    <t>Wave 4
擴充優化</t>
  </si>
  <si>
    <t>EPIC C｜照護者與家屬介面</t>
  </si>
  <si>
    <t>核心 A/B/C 同一條 Demo 流程可見</t>
  </si>
  <si>
    <t>權限不足不顯示資料</t>
  </si>
  <si>
    <t>專業照護人員</t>
  </si>
  <si>
    <t>不得破壞主流程</t>
  </si>
  <si>
    <t>摘要與專業照護者檢視</t>
  </si>
  <si>
    <t>專業照護者概覽與派案入口</t>
  </si>
  <si>
    <t>身為專業照護人員，我希望依工作場域看到同據點長者或被派案長者的摘要、行程與待處理事項，降低切換與交接成本。</t>
  </si>
  <si>
    <t>覆核或修正 AI 擷取結果</t>
  </si>
  <si>
    <t>更新事件、排除原因與 review_status</t>
  </si>
  <si>
    <t>使用方式</t>
  </si>
  <si>
    <t>Review Workflow</t>
  </si>
  <si>
    <t>核心 C｜照護者資訊介面</t>
  </si>
  <si>
    <t>review_status、correction</t>
  </si>
  <si>
    <t>1</t>
  </si>
  <si>
    <t>更正後摘要／Graph 投影可重建</t>
  </si>
  <si>
    <t>日照模式顯示最後互動、今日互動、摘要與待覆核；居服模式顯示今日服務時段、派案狀態、上次服務摘要與待追蹤事項。</t>
  </si>
  <si>
    <t>保留修改人、時間與版本</t>
  </si>
  <si>
    <t>Demo 至少顯示林阿嬤與張阿姨；居服員只顯示有效派案長者，未授權資料不得出現在列表、搜尋或統計。</t>
  </si>
  <si>
    <t>US-B02；US-C02；NFR-H01</t>
  </si>
  <si>
    <t>先讀 01_Story Map：確認 Backbone 與 Wave</t>
  </si>
  <si>
    <t>團隊／評審</t>
  </si>
  <si>
    <t>查看技術證據</t>
  </si>
  <si>
    <t>展示 ASR 指標、Agent trace、Graph 查詢與安全攔截</t>
  </si>
  <si>
    <t>4</t>
  </si>
  <si>
    <t>Demo Gate 1 只演日照薄版本；居服派案入口以陳伯伯作權限與 UX 證據。</t>
  </si>
  <si>
    <t>TE-I03；TE-J04；NFR-Q04</t>
  </si>
  <si>
    <t>再用 04_Enablers_NFR 補齊非功能工作</t>
  </si>
  <si>
    <t>Observability／Eval</t>
  </si>
  <si>
    <t>[US-L01] 語音互動知識小遊戲
[US-L02] 個人積分與成就
[US-L03] 友善匿名排行榜
[US-L04] 題庫來源與內容審查
[US-M01] 回答與訊號回饋</t>
  </si>
  <si>
    <t>US-C02</t>
  </si>
  <si>
    <t>metrics、trace_id、test_case_id</t>
  </si>
  <si>
    <t>可重複演示正常與失敗路徑</t>
  </si>
  <si>
    <t>2</t>
  </si>
  <si>
    <t>日誌不保存不必要完整逐字稿</t>
  </si>
  <si>
    <t>以 02_Story Backlog 作為 Product Story 單一清單</t>
  </si>
  <si>
    <t>長者詳情頁</t>
  </si>
  <si>
    <t>身為專業照護人員，我希望查看被授權長者的基本資料、每日摘要、時間軸、已確認記憶及陪伴需求訊號。</t>
  </si>
  <si>
    <t>5</t>
  </si>
  <si>
    <t>用 05_Demo Traceability 檢查命題與交付</t>
  </si>
  <si>
    <t>頁面明確區分基本資料、AI 擷取事件、已確認記憶、陪伴需求訊號及衛教內容。</t>
  </si>
  <si>
    <t>3</t>
  </si>
  <si>
    <t>由日照長者卡、居服服務行程或單一有效派案進入時可直接開啟詳情，但不得放寬 elder_id／tenant_id／assignment 權限。</t>
  </si>
  <si>
    <t>先打通 03_Wave1 Vertical Slice，再擴大 Wave 2</t>
  </si>
  <si>
    <t>US-B02；US-B04；US-D03；NFR-H01</t>
  </si>
  <si>
    <t>共用詳情元件；依日照照服員、居服員角色收斂欄位與操作。</t>
  </si>
  <si>
    <t>US-C03</t>
  </si>
  <si>
    <t>家屬</t>
  </si>
  <si>
    <t>家屬報表、通知與主動陪伴</t>
  </si>
  <si>
    <t>6</t>
  </si>
  <si>
    <t>家屬摘要發布與 LINE／Email 通知</t>
  </si>
  <si>
    <t>Owner／狀態欄保持可編輯，分工後再填</t>
  </si>
  <si>
    <t>身為家屬，我希望系統先將經授權的近況保存於家屬端，再依偏好透過 LINE／Email 通知我查看。</t>
  </si>
  <si>
    <t>來源</t>
  </si>
  <si>
    <t>https://docs.google.com/document/d/1qb89I23zD8GJFzead_R_G6fXq2CZWgEsKBK7Q4o_F8A</t>
  </si>
  <si>
    <t>進階｜家屬推播通知</t>
  </si>
  <si>
    <t>命題檔</t>
  </si>
  <si>
    <t>hackathon_challenge_ai_readable (1).json</t>
  </si>
  <si>
    <t>Demo 先發布一筆正式摘要至家屬 App／Web，再實際透過 LINE 或 Email 送出通知。</t>
  </si>
  <si>
    <t>App／Web、LINE 與 Email 共用 report_id；通知失敗不影響已發布報表。</t>
  </si>
  <si>
    <t>Demo Persona 與場域</t>
  </si>
  <si>
    <t>US-A06；US-B02；US-C05；TE-PRO01</t>
  </si>
  <si>
    <t>LINE／Email 為通知通路，不是正式資料保存來源。</t>
  </si>
  <si>
    <t>US-C04</t>
  </si>
  <si>
    <t>場域</t>
  </si>
  <si>
    <t>語言</t>
  </si>
  <si>
    <t>主要用途</t>
  </si>
  <si>
    <t>Demo 範圍</t>
  </si>
  <si>
    <t>林阿嬤</t>
  </si>
  <si>
    <t>覆核與關懷行動</t>
  </si>
  <si>
    <t>關懷待辦與追蹤</t>
  </si>
  <si>
    <t>身為專業照護人員，我希望把需要關心的事件轉成可追蹤待辦，避免重要事項只停留在摘要中。</t>
  </si>
  <si>
    <t>幸福日照中心</t>
  </si>
  <si>
    <t>臺語／國臺混語</t>
  </si>
  <si>
    <t>語音、事件、記憶、Graph、摘要與覆核</t>
  </si>
  <si>
    <t>主要端到端 Demo</t>
  </si>
  <si>
    <t>張阿姨</t>
  </si>
  <si>
    <t>可建立聯繫長者、確認家屬聯繫、邀請活動及設定追蹤日期等待辦。</t>
  </si>
  <si>
    <t>每項待辦顯示觸發原因、相關事件、建立者、期限及狀態。</t>
  </si>
  <si>
    <t>國語；客語待穩定度決定</t>
  </si>
  <si>
    <t>US-C02；US-B03</t>
  </si>
  <si>
    <t>多長者概覽、空狀態、資料隔離</t>
  </si>
  <si>
    <t>依角色與派案／據點權限限制操作。</t>
  </si>
  <si>
    <t>輔助畫面與權限證據</t>
  </si>
  <si>
    <t>US-C05</t>
  </si>
  <si>
    <t>陳伯伯</t>
  </si>
  <si>
    <t>居家服務</t>
  </si>
  <si>
    <t>國語</t>
  </si>
  <si>
    <t>居服員派案／服務詳情、家屬每日／週／月報表與跨場域權限</t>
  </si>
  <si>
    <t>權限與家屬端技術證據</t>
  </si>
  <si>
    <t>場域決策</t>
  </si>
  <si>
    <t>家屬每日摘要與週／月報表中心</t>
  </si>
  <si>
    <t>Target Architecture 支援日照與居家；主要 Live Demo 採日照中心。三位 Persona 不需各自重跑完整主線。</t>
  </si>
  <si>
    <t>身為經授權的家屬，我希望在 App／Web 查看每日摘要、每週與每月報表及歷史重要事件，持續了解長者近況。</t>
  </si>
  <si>
    <t>核心 C／進階｜家屬資訊介面</t>
  </si>
  <si>
    <t>只顯示 Published 且在分享授權範圍內的報表；沒有資料時標示未提及或資料不足。</t>
  </si>
  <si>
    <t>家屬端決策</t>
  </si>
  <si>
    <t>報表保存 report_id、期間、版本、來源事件、發布狀態與時間；家屬不得查看逐字稿、未覆核事件或專業內部資料。</t>
  </si>
  <si>
    <t>App／Web 保存正式報表；LINE／Email 為通知與導流通路。</t>
  </si>
  <si>
    <t>US-A06；US-B02；US-C03；NFR-H01～H03</t>
  </si>
  <si>
    <t>每日摘要、週報、月報、歷史事件、通知設定</t>
  </si>
  <si>
    <t>只顯示已發布且已授權內容</t>
  </si>
  <si>
    <t>家屬端保存正式資料；撤回授權後停止新報表、通知與安全連結存取。</t>
  </si>
  <si>
    <t>不具專業覆核、記憶管理與待辦權限</t>
  </si>
  <si>
    <t>US-D01</t>
  </si>
  <si>
    <t>EPIC D｜確認式 AI 長期記憶</t>
  </si>
  <si>
    <t>產生候選記憶</t>
  </si>
  <si>
    <t>身為長者，我希望 AI 能記得我的偏好與生活習慣，但不要將每句話都永久保存。</t>
  </si>
  <si>
    <t>核心 A/B｜情境記憶＋生活資料</t>
  </si>
  <si>
    <t>僅針對穩定偏好、重要關係與固定作息產生候選記憶。</t>
  </si>
  <si>
    <t>一般閒聊、一次性事件、敏感健康推測及陪伴需求推估，不得直接轉為長期記憶。</t>
  </si>
  <si>
    <t>US-B01；TE-J03</t>
  </si>
  <si>
    <t>確認後才保存</t>
  </si>
  <si>
    <t>身為長者，我希望 AI 在記錄重要事項前先詢問我的意見。</t>
  </si>
  <si>
    <t>系統須以簡短問題詢問使用者是否同意保存。</t>
  </si>
  <si>
    <t>若長者拒絕，系統不得將該內容寫入長期記憶。</t>
  </si>
  <si>
    <t>US-D01；US-A06</t>
  </si>
  <si>
    <t>US-D03</t>
  </si>
  <si>
    <t>記憶檢索與個人化回應</t>
  </si>
  <si>
    <t>身為長者，我希望 AI 在適當時機引用已確認記憶，避免重複詢問已知資訊。</t>
  </si>
  <si>
    <t>僅檢索與當前對話相關的少量已確認記憶。</t>
  </si>
  <si>
    <t>引用內容必須嚴格屬於同一位長者，嚴禁跨使用者資料洩漏。</t>
  </si>
  <si>
    <t>US-D02；TE-GR01</t>
  </si>
  <si>
    <t>US-D04</t>
  </si>
  <si>
    <t>長者／授權照護者</t>
  </si>
  <si>
    <t>更正、停用與刪除記憶</t>
  </si>
  <si>
    <t>身為長者或授權照護者，我希望能夠更正或刪除錯誤的記憶內容。</t>
  </si>
  <si>
    <t>後台系統須提供檢視、更正、停用及刪除記憶的操作介面。</t>
  </si>
  <si>
    <t>已刪除或停用的記憶不得再次被檢索或於對話中使用。</t>
  </si>
  <si>
    <t>US-D02；TE-GR03</t>
  </si>
  <si>
    <t>US-E01</t>
  </si>
  <si>
    <t>EPIC E｜可信知識查詢與 RAG</t>
  </si>
  <si>
    <t>生活化問題理解</t>
  </si>
  <si>
    <t>身為長者，我希望用生活化說法提問，也能找到適用的衛教或長照資源。</t>
  </si>
  <si>
    <t>進階｜知識庫建置</t>
  </si>
  <si>
    <t>系統保留原始問題並產生檢索查詢。</t>
  </si>
  <si>
    <t>查詢改寫不得改變疾病、地區、服務類型、日期及否定詞等關鍵條件。</t>
  </si>
  <si>
    <t>TE-G01～G03</t>
  </si>
  <si>
    <t>US-E02</t>
  </si>
  <si>
    <t>來源與適用範圍過濾</t>
  </si>
  <si>
    <t>身為照護者，我希望系統依來源、地區、適用對象、日期與審查狀態過濾資料，避免提供不適用內容。</t>
  </si>
  <si>
    <t>可依 source_agency、region、service_type、effective_date、review_status 等欄位過濾。</t>
  </si>
  <si>
    <t>needs_review、來源不明及已失效資料不得以權威答案呈現。</t>
  </si>
  <si>
    <t>US-E03</t>
  </si>
  <si>
    <t>長者／照護者</t>
  </si>
  <si>
    <t>有根據的衛教回答</t>
  </si>
  <si>
    <t>身為長者或照護者，我希望知道回答來自哪份可信資料。</t>
  </si>
  <si>
    <t>ID</t>
  </si>
  <si>
    <t>回答顯示來源名稱、發布機關或可追溯識別。</t>
  </si>
  <si>
    <t>找不到足夠證據時不自行補完。</t>
  </si>
  <si>
    <t>分類</t>
  </si>
  <si>
    <t>US-E01；US-E02；TE-J03</t>
  </si>
  <si>
    <t>標題</t>
  </si>
  <si>
    <t>US-E04</t>
  </si>
  <si>
    <t>開發團隊</t>
  </si>
  <si>
    <t>參與與持續改善</t>
  </si>
  <si>
    <t>主要支援階段</t>
  </si>
  <si>
    <t>檢索品質評估</t>
  </si>
  <si>
    <t>身為開發團隊，我希望量化檢索方法的改善，證明技術選擇有實際價值。</t>
  </si>
  <si>
    <t>支援 Stories／能力</t>
  </si>
  <si>
    <t>關鍵規則 1</t>
  </si>
  <si>
    <t>關鍵規則 2</t>
  </si>
  <si>
    <t>建立人工標註的查詢與相關文件測試集。</t>
  </si>
  <si>
    <t>至少比較基礎檢索與最終方案。</t>
  </si>
  <si>
    <t>US-E01～E03</t>
  </si>
  <si>
    <t>Status</t>
  </si>
  <si>
    <t>US-F01</t>
  </si>
  <si>
    <t>EPIC F｜個人化關懷與下一步行動</t>
  </si>
  <si>
    <t>TE-G01</t>
  </si>
  <si>
    <t>資料治理／RAG</t>
  </si>
  <si>
    <t>可信來源登錄</t>
  </si>
  <si>
    <t>個人化關懷候選主題生成</t>
  </si>
  <si>
    <t>身為長者，我希望系統根據近期生活與已確認偏好準備合適的候選主題，供回應式或主動式互動使用。</t>
  </si>
  <si>
    <t>可信知識／治理</t>
  </si>
  <si>
    <t>US-E02、E03、L04</t>
  </si>
  <si>
    <t>核心 C｜照護協作</t>
  </si>
  <si>
    <t>每個來源建立 manifest 或 Structured Record。</t>
  </si>
  <si>
    <t>至少記錄來源機關、標題、版本／日期、地區、授權、公開來源資訊與審查狀態。</t>
  </si>
  <si>
    <t>來源登錄、版本、Chunk／Policy 證據</t>
  </si>
  <si>
    <t>候選主題可來自近期事件、已確認記憶、時間情境與明確偏好。</t>
  </si>
  <si>
    <t>排序不得依未確認健康推測、孤獨推估或敏感標籤決定。</t>
  </si>
  <si>
    <t>待實作</t>
  </si>
  <si>
    <t>TE-G02</t>
  </si>
  <si>
    <t>US-D03；US-B04</t>
  </si>
  <si>
    <t>文件切片與審查</t>
  </si>
  <si>
    <t>US-F02</t>
  </si>
  <si>
    <t>照護者候選行動建議</t>
  </si>
  <si>
    <t>身為照護者，我希望系統整理可以採取的下一步，而不是替我做醫療或照護決定。</t>
  </si>
  <si>
    <t>US-E02、E03、E04</t>
  </si>
  <si>
    <t>流程為來源登錄、解析清理、切片、Metadata、審查、Embedding／Index。</t>
  </si>
  <si>
    <t>Sheet 不存完整 chunk_text，只保存檔名、索引及審查資訊。</t>
  </si>
  <si>
    <t>建議限定為查看、確認、聯繫、活動邀請及追蹤等工作流。</t>
  </si>
  <si>
    <t>不得建議改藥、停藥、做疾病診斷或自動改變正式照護計畫。</t>
  </si>
  <si>
    <t>TE-G03</t>
  </si>
  <si>
    <t>US-K01</t>
  </si>
  <si>
    <t>版本與失效管理</t>
  </si>
  <si>
    <t>EPIC K｜日常互動陪伴需求訊號</t>
  </si>
  <si>
    <t>US-E02、E03</t>
  </si>
  <si>
    <t>擷取社交連結與陪伴需求事件</t>
  </si>
  <si>
    <t>身為照護者，我希望系統從經同意的日常互動中擷取社交聯繫、活動參與及陪伴需求相關事件，讓我不需閱讀全部逐字稿。</t>
  </si>
  <si>
    <t>Chunk 可追溯至來源文件版本。</t>
  </si>
  <si>
    <t>來源更新後可重建索引並標記舊版本失效。</t>
  </si>
  <si>
    <t>創新｜個人化互動＋社會應用</t>
  </si>
  <si>
    <t>TE-G04</t>
  </si>
  <si>
    <t>擷取家人或朋友聯繫、預期聯繫未發生、活動參與、活動取消、明確孤單或想找人聊天的表達。</t>
  </si>
  <si>
    <t>量表與分析規則版本管理</t>
  </si>
  <si>
    <t>每筆事件顯示來源句、時間、ASR 信心、擷取信心及審查狀態。</t>
  </si>
  <si>
    <t>US-A06；US-B01</t>
  </si>
  <si>
    <t>US-K02～K04</t>
  </si>
  <si>
    <t>US-K02</t>
  </si>
  <si>
    <t>保存量表或規則的來源、名稱、版本、語言、適用族群、施測方式、計分規則、授權狀態、審查狀態及生效日期。</t>
  </si>
  <si>
    <t>量表說明文件可進入 RAG；正式題目與計分規則另存於結構化 Policy Registry。</t>
  </si>
  <si>
    <t>產生可解釋的陪伴需求訊號</t>
  </si>
  <si>
    <t>身為照護者，我希望系統整理長者近期互動模式的變化與證據，讓我判斷是否需要進一步關心。</t>
  </si>
  <si>
    <t>TE-I01</t>
  </si>
  <si>
    <t>ASR 測試／適應</t>
  </si>
  <si>
    <t>建立長者語音測試集</t>
  </si>
  <si>
    <t>使用同一位長者的個人歷史基準，不與其他長者比較。</t>
  </si>
  <si>
    <t>首版分析規則比較最近七天與過去二十八天的個人歷史基準；時間窗口由版本化 Policy 設定。</t>
  </si>
  <si>
    <t>US-K01；TE-J05；TE-G04</t>
  </si>
  <si>
    <t>測試集依語言、說話者、語速、噪音及混語情境分層。</t>
  </si>
  <si>
    <t>US-K03</t>
  </si>
  <si>
    <t>訓練、驗證及測試說話者不得不當重疊。</t>
  </si>
  <si>
    <t>測試集、指標報告或模型版本</t>
  </si>
  <si>
    <t>TE-I02</t>
  </si>
  <si>
    <t>照護者覆核與關懷規劃</t>
  </si>
  <si>
    <t>身為照護者，我希望查看陪伴需求訊號、確認正確性並建立後續行動，讓 AI 協助整理但不代替我決策。</t>
  </si>
  <si>
    <t>長者語音 ASR 適應</t>
  </si>
  <si>
    <t>可查看證據、確認需要關懷、排除訊號、修正事件、建立聯繫待辦、安排活動及設定追蹤日。</t>
  </si>
  <si>
    <t>保存訓練資料版本、模型產物、超參數、Checkpoint 及程式版本。</t>
  </si>
  <si>
    <t>優先採黑客松時限內可完成的方法。</t>
  </si>
  <si>
    <t>排除時可記錄裝置故障、外出、誤判或資料不足等原因。</t>
  </si>
  <si>
    <t>US-K02；US-C04</t>
  </si>
  <si>
    <t>TE-I03</t>
  </si>
  <si>
    <t>US-K04</t>
  </si>
  <si>
    <t>ASR 品質報告</t>
  </si>
  <si>
    <t>US-A02；Demo 證據</t>
  </si>
  <si>
    <t>至少報告 CER、WER、關鍵事件保留率與代表性失敗案例。</t>
  </si>
  <si>
    <t>標準量表校正與人工施測</t>
  </si>
  <si>
    <t>依國語、臺語及混語情境切分結果。</t>
  </si>
  <si>
    <t>身為照護者，我希望必要時使用經審查的簡短量表確認長者主觀感受，讓日常互動訊號有額外參考依據。</t>
  </si>
  <si>
    <t>TE-I04</t>
  </si>
  <si>
    <t>正式量表必須由長者實際回答，不得從自由對話猜測答案。</t>
  </si>
  <si>
    <t>計分由固定程式執行，不由 LLM 自由計算。</t>
  </si>
  <si>
    <t>TE-G04；US-K03</t>
  </si>
  <si>
    <t>即時與批次推論分流</t>
  </si>
  <si>
    <t>Requirement ID</t>
  </si>
  <si>
    <t>US-L01</t>
  </si>
  <si>
    <t>BONUS IF STABLE</t>
  </si>
  <si>
    <t>EPIC L｜互動遊戲、成就與參與</t>
  </si>
  <si>
    <t>US-A02；離線評估</t>
  </si>
  <si>
    <t>即時對話使用低延遲推論路徑。</t>
  </si>
  <si>
    <t>類型</t>
  </si>
  <si>
    <t>語音互動知識小遊戲</t>
  </si>
  <si>
    <t>大量測試音檔可使用離線批次流程。</t>
  </si>
  <si>
    <t>身為長者，我希望透過簡單、有趣的語音問答與 AI 互動，讓日常陪伴更有趣。</t>
  </si>
  <si>
    <t>命題／交付要求</t>
  </si>
  <si>
    <t>TE-J01</t>
  </si>
  <si>
    <t>權重／加分</t>
  </si>
  <si>
    <t>Workflow／可觀測性</t>
  </si>
  <si>
    <t>受控 Multi-Agent 與確定性工作流協調</t>
  </si>
  <si>
    <t>A／B／D／E／K／N 流程</t>
  </si>
  <si>
    <t>Orchestrator 依意圖路由至 Companion、Memory、Knowledge、Care Insight 等專責 Agent；Agent 不進行自由協商。</t>
  </si>
  <si>
    <t>擴充｜參與體驗</t>
  </si>
  <si>
    <t>Demo／文件證據</t>
  </si>
  <si>
    <t>長者可用語音說「我要玩遊戲」開始。</t>
  </si>
  <si>
    <t>每局預設三至五題，可隨時停止。</t>
  </si>
  <si>
    <t>目前狀態</t>
  </si>
  <si>
    <t>每個節點有明確輸入、輸出、Schema、權限、逾時、重試及失敗處理。</t>
  </si>
  <si>
    <t>US-A01～A05；US-L04</t>
  </si>
  <si>
    <t>trace、Schema、安全與失敗路徑</t>
  </si>
  <si>
    <t>US-L02</t>
  </si>
  <si>
    <t>TE-J02</t>
  </si>
  <si>
    <t>CORE-A1</t>
  </si>
  <si>
    <t>必做核心 A</t>
  </si>
  <si>
    <t>Context Engineering</t>
  </si>
  <si>
    <t>個人積分與成就</t>
  </si>
  <si>
    <t>至少支援中文及臺語之一即時語音對話</t>
  </si>
  <si>
    <t>身為長者，我希望完成互動或遊戲後獲得積分與成就，感受到參與及進步。</t>
  </si>
  <si>
    <t>US-A01～A03</t>
  </si>
  <si>
    <t>US-A04、D03、E03、N03</t>
  </si>
  <si>
    <t>TE-VO01；TE-I01；TE-I03</t>
  </si>
  <si>
    <t>Context 由 System Prompt、Persona、近期摘要、已確認記憶、情境及檢索結果動態組成。</t>
  </si>
  <si>
    <t>現場語音對話＋ASR 報告</t>
  </si>
  <si>
    <t>不把全部逐字稿、全部記憶或整份 PDF 塞入模型。</t>
  </si>
  <si>
    <t>完成遊戲、互動或學習活動可獲得積分。</t>
  </si>
  <si>
    <t>積分不只依答對數計算，完成參與也可獲得基本分數。</t>
  </si>
  <si>
    <t>TE-J03</t>
  </si>
  <si>
    <t>US-L03</t>
  </si>
  <si>
    <t>CORE-A2</t>
  </si>
  <si>
    <t>輸出驗證與安全檢查</t>
  </si>
  <si>
    <t>長者以口語互動，無需文字輸入或複雜觸控</t>
  </si>
  <si>
    <t>友善匿名排行榜</t>
  </si>
  <si>
    <t>所有顯示、寫入與通知</t>
  </si>
  <si>
    <t>身為選擇參加團體活動的長者，我希望看到自己與團體的活動成果，增加共同參與的樂趣。</t>
  </si>
  <si>
    <t>結構化輸出必須通過 Schema 驗證。</t>
  </si>
  <si>
    <t>對話回覆需經醫療邊界、安全與敏感資料檢查。</t>
  </si>
  <si>
    <t>NFR-Q01</t>
  </si>
  <si>
    <t>一鍵錄音與語音回覆</t>
  </si>
  <si>
    <t>排行榜預設關閉，由長者或授權照護者主動加入。</t>
  </si>
  <si>
    <t>TE-J04</t>
  </si>
  <si>
    <t>只顯示暱稱或虛擬名稱。</t>
  </si>
  <si>
    <t>US-L02；US-A06</t>
  </si>
  <si>
    <t>監控與追蹤</t>
  </si>
  <si>
    <t>US-L04</t>
  </si>
  <si>
    <t>CORE-A3</t>
  </si>
  <si>
    <t>全旅程</t>
  </si>
  <si>
    <t>內容管理者</t>
  </si>
  <si>
    <t>所有核心故事</t>
  </si>
  <si>
    <t>記錄延遲、錯誤率、ASR 失敗、檢索空結果、模型逾時、訊號分析失敗及通知失敗。</t>
  </si>
  <si>
    <t>題庫來源與內容審查</t>
  </si>
  <si>
    <t>依時間、天氣、過往記憶調整回應</t>
  </si>
  <si>
    <t>日誌不得直接保存完整敏感逐字稿。</t>
  </si>
  <si>
    <t>身為內容管理者，我希望遊戲題目具有來源、版本與適用對象，避免提供錯誤或不適合的內容。</t>
  </si>
  <si>
    <t>US-A04；US-D03</t>
  </si>
  <si>
    <t>TE-J05</t>
  </si>
  <si>
    <t>TE-J02；TE-GR01～GR02</t>
  </si>
  <si>
    <t>陪伴需求背景分析工作流</t>
  </si>
  <si>
    <t>第二輪引用已確認記憶</t>
  </si>
  <si>
    <t>保存題目來源、版本、語言、難度、適用對象及審查狀態。</t>
  </si>
  <si>
    <t>未審查題目不得進入正式衛教遊戲。</t>
  </si>
  <si>
    <t>US-K01～K04</t>
  </si>
  <si>
    <t>每日或每週由排程觸發。</t>
  </si>
  <si>
    <t>Agent 預設讀取結構化事件與互動統計，不無限制讀取全部逐字稿。</t>
  </si>
  <si>
    <t>CORE-A4</t>
  </si>
  <si>
    <t>US-M01</t>
  </si>
  <si>
    <t>EPIC M｜回饋與持續改善</t>
  </si>
  <si>
    <t>回答與訊號回饋</t>
  </si>
  <si>
    <t>TE-MA01</t>
  </si>
  <si>
    <t>受控 Multi-Agent</t>
  </si>
  <si>
    <t>不得只是固定腳本式回覆</t>
  </si>
  <si>
    <t>Orchestrator 與專責 Agent 路由</t>
  </si>
  <si>
    <t>Orchestrator 只依版本化 Intent／Policy 路由至 Companion、Memory、Knowledge、Care Insight 與 Safety Evaluator。</t>
  </si>
  <si>
    <t>身為長者或照護者，我希望回報回答是否有幫助或訊號是否誤判，讓系統能持續改善。</t>
  </si>
  <si>
    <t>動態 Context＋生成式回覆 trace</t>
  </si>
  <si>
    <t>每個 Agent 僅能使用白名單 Tool、最小必要資料與明確 JSON Schema。</t>
  </si>
  <si>
    <t>品質｜持續改善</t>
  </si>
  <si>
    <t>TE-MA02</t>
  </si>
  <si>
    <t>長者可提供簡單的有幫助／沒有幫助回饋。</t>
  </si>
  <si>
    <t>照護者可標記回答錯誤、來源不適用、事件誤判或陪伴需求訊號誤判。</t>
  </si>
  <si>
    <t>Safety Evaluator 與輸出閘門</t>
  </si>
  <si>
    <t>US-E03；US-K03；US-N07</t>
  </si>
  <si>
    <t>US-N01</t>
  </si>
  <si>
    <t>EPIC N｜AI 主動式個人化陪伴與對話發起</t>
  </si>
  <si>
    <t>對話顯示、TTS 播放、家屬通知、正式寫入與高風險行動前，均須通過適用的安全與權限檢查。</t>
  </si>
  <si>
    <t>Evaluator 失敗最多修正一次，再失敗使用安全降級內容並保留 trace。</t>
  </si>
  <si>
    <t>主動陪伴同意、時段與頻率偏好</t>
  </si>
  <si>
    <t>身為長者，我希望自己決定 AI 是否能主動找我、何時可以找我及一天最多幾次，避免被打擾。</t>
  </si>
  <si>
    <t>CORE-B1</t>
  </si>
  <si>
    <t>TE-GR01</t>
  </si>
  <si>
    <t>必做核心 B</t>
  </si>
  <si>
    <t>創新｜AI 記憶＋個人化互動</t>
  </si>
  <si>
    <t>確認式人物、事件與關係 Graph</t>
  </si>
  <si>
    <t>自動擷取飲食、活動、睡眠、用藥等生活資訊</t>
  </si>
  <si>
    <t>主動陪伴預設須取得獨立同意，不能只沿用一般對話同意。</t>
  </si>
  <si>
    <t>可設定允許時段、靜默時段、每日上限、最短間隔、允許通路與暫停期限。</t>
  </si>
  <si>
    <t>US-A06；TE-PRO01</t>
  </si>
  <si>
    <t>US-D02、D03、B04</t>
  </si>
  <si>
    <t>只有已確認人物／偏好／關係與已覆核事件，才能寫入 Graph DB 的正式投影。</t>
  </si>
  <si>
    <t>US-N02</t>
  </si>
  <si>
    <t>RDS 保存同意、權限、任務、正式狀態與交易紀錄；Graph DB 保存人物、事件、偏好與關係投影，RDS 為交易事實來源。</t>
  </si>
  <si>
    <t>結構化事件與來源句</t>
  </si>
  <si>
    <t>適當時機與不打擾判斷</t>
  </si>
  <si>
    <t>身為長者，我希望 AI 只在適合的時間主動互動，活動取消、裝置離線或我正在忙時不要播放。</t>
  </si>
  <si>
    <t>CORE-B2</t>
  </si>
  <si>
    <t>TE-GR02</t>
  </si>
  <si>
    <t>每日自動生成結構化生活摘要</t>
  </si>
  <si>
    <t>關係查詢與可證明的 Graph 價值</t>
  </si>
  <si>
    <t>Trigger 可來自排程、活動到期、長者要求稍後提醒、裝置進入、照護者安排及核准的關懷事件。</t>
  </si>
  <si>
    <t>Eligibility Gate 以確定性程式檢查同意、靜默時段、每日上限、cooldown、裝置、Session、拒絕紀錄與來源事件狀態。</t>
  </si>
  <si>
    <t>US-N01；TE-PRO01</t>
  </si>
  <si>
    <t>NFR-Q03</t>
  </si>
  <si>
    <t>US-D03、K02、N03</t>
  </si>
  <si>
    <t>至少實作一個兩層關係查詢，例如「林阿嬤 → 女兒小美 → 每週日通話 → 最近未聯絡」。</t>
  </si>
  <si>
    <t>排程生成摘要</t>
  </si>
  <si>
    <t>US-N03</t>
  </si>
  <si>
    <t>查詢只回傳同一 tenant／elder 權限範圍內的 active 關係，並可追溯到來源事件。</t>
  </si>
  <si>
    <t>CORE-B3</t>
  </si>
  <si>
    <t>個人化話題排序與動態開場</t>
  </si>
  <si>
    <t>摘要供照護人員快速掌握近況</t>
  </si>
  <si>
    <t>身為長者，我希望 AI 的主動開場有生活脈絡、簡短自然，而且只引用我已確認的資訊。</t>
  </si>
  <si>
    <t>RDS 與 Graph DB 一致性</t>
  </si>
  <si>
    <t>US-D04、B03</t>
  </si>
  <si>
    <t>US-B02；US-C02</t>
  </si>
  <si>
    <t>以 Transactional Outbox、冪等鍵、重試與 dead-letter queue 將 RDS 事件同步為 Graph 投影，禁止無保護雙寫。</t>
  </si>
  <si>
    <t>記憶或事件更正、停用、撤回與刪除時，同步更新 Graph node／edge 與搜尋索引。</t>
  </si>
  <si>
    <t>候選話題可來自近期已覆核事件、已確認記憶、時間情境、未完成追蹤與照護者核准活動。</t>
  </si>
  <si>
    <t>照護者詳情頁</t>
  </si>
  <si>
    <t>排序保存分數、reason_codes、來源 event_id／memory_id、Policy 版本與重複抑制結果。</t>
  </si>
  <si>
    <t>US-N02；US-D03；US-B04</t>
  </si>
  <si>
    <t>TE-VO01</t>
  </si>
  <si>
    <t>多語語音</t>
  </si>
  <si>
    <t>多語 Speech Router</t>
  </si>
  <si>
    <t>CORE-B4</t>
  </si>
  <si>
    <t>US-N04</t>
  </si>
  <si>
    <t>US-A02、A03、N04</t>
  </si>
  <si>
    <t>摘要由 AI 自動歸納，非人工填寫</t>
  </si>
  <si>
    <t>依 Persona 偏好、長者明確切換指令與 Session 狀態選擇 ASR／TTS 路徑，不為每句短語重新偵測語言。</t>
  </si>
  <si>
    <t>拒絕、換題、暫停與稍後再聊</t>
  </si>
  <si>
    <t>國語、臺語、客語與英文共用相同 Agent、記憶、安全與資料治理流程；差異只存在於語音供應者、模型與評估資料。</t>
  </si>
  <si>
    <t>身為長者，我希望能隨時說不想聊、換一個、停止或晚點再說，系統不會一直追問。</t>
  </si>
  <si>
    <t>語言切換與語音測試</t>
  </si>
  <si>
    <t>TE-J01；TE-J03</t>
  </si>
  <si>
    <t>TE-PRO01</t>
  </si>
  <si>
    <t>摘要來源 event_id</t>
  </si>
  <si>
    <t>主動互動狀態機</t>
  </si>
  <si>
    <t>國語、臺語與英文路徑均需辨識拒絕、換題、停止及稍後再聊的核心指令；其他語言依 Wave 4 測試結果開放。</t>
  </si>
  <si>
    <t>Trigger／Eligibility／Follow-up 狀態機</t>
  </si>
  <si>
    <t>拒絕後立即停止追問並更新近期推薦限制，不因拒絕產生負面診斷。</t>
  </si>
  <si>
    <t>US-N03；TE-VO01</t>
  </si>
  <si>
    <t>CORE-C1</t>
  </si>
  <si>
    <t>US-N05</t>
  </si>
  <si>
    <t>US-N01～N07、C03</t>
  </si>
  <si>
    <t>必做核心 C</t>
  </si>
  <si>
    <t>Trigger、Eligibility、Session、Topic、Follow-up 與 Care Action 都有 owner、狀態、expires_at、idempotency_key 與版本。</t>
  </si>
  <si>
    <t>後台包含長者基本資料</t>
  </si>
  <si>
    <t>排程、日期、頻率、重試、取消與權限由確定性程式控制，LLM 只負責語意理解與自然語言生成。</t>
  </si>
  <si>
    <t>狀態、冪等、排程與取消測試</t>
  </si>
  <si>
    <t>跨日追蹤與提醒</t>
  </si>
  <si>
    <t>身為長者，我希望 AI 能在我要求的時間提醒，或在已記錄的活動後延續關心，不必每天重新解釋。</t>
  </si>
  <si>
    <t>US-C01；US-C02</t>
  </si>
  <si>
    <t>NFR-H01</t>
  </si>
  <si>
    <t>安全／隱私／醫療邊界</t>
  </si>
  <si>
    <t>角色權限與資料隔離</t>
  </si>
  <si>
    <t>多長者概覽 → 點擊林阿嬤 → 長者詳情頁</t>
  </si>
  <si>
    <t>follow_up_plan 支援 scheduled、completed、postponed、cancelled 與 expired 狀態。</t>
  </si>
  <si>
    <t>同一來源事件不得重複建立相同追蹤，需有 idempotency_key 與 expires_at。</t>
  </si>
  <si>
    <t>US-N04；TE-PRO01</t>
  </si>
  <si>
    <t>每筆資料依 elder_id、tenant_id 與角色權限隔離。</t>
  </si>
  <si>
    <t>CORE-C2</t>
  </si>
  <si>
    <t>任一使用者不得透過搜尋、報表或 API 取得其他長者資料。</t>
  </si>
  <si>
    <t>US-N06</t>
  </si>
  <si>
    <t>權限、隱私、安全與紅隊測試</t>
  </si>
  <si>
    <t>後台包含 AI 每日摘要</t>
  </si>
  <si>
    <t>NFR-H02</t>
  </si>
  <si>
    <t>US-C02；US-B02</t>
  </si>
  <si>
    <t>照護者可追溯、核准與後續行動</t>
  </si>
  <si>
    <t>傳輸與儲存保護</t>
  </si>
  <si>
    <t>身為照護者，我希望知道 AI 為何主動互動、使用哪些資料，以及是否需要建立待辦或通知家屬。</t>
  </si>
  <si>
    <t>摘要歷史</t>
  </si>
  <si>
    <t>資料傳輸與儲存</t>
  </si>
  <si>
    <t>API 全程使用 HTTPS。</t>
  </si>
  <si>
    <t>主要儲存與必要日誌使用加密機制。</t>
  </si>
  <si>
    <t>CORE-C3</t>
  </si>
  <si>
    <t>後台可查看 Trigger、Eligibility、Topic、Context、來源事件、已確認記憶、模型、Policy、安全結果與 trace_id。</t>
  </si>
  <si>
    <t>涉及陪伴需求變化、家庭衝突、健康、財務或創傷的敏感話題，主動播放前必須依 Policy 要求人工核准或完全禁止。</t>
  </si>
  <si>
    <t>後台包含互動次數</t>
  </si>
  <si>
    <t>US-N03；US-C04</t>
  </si>
  <si>
    <t>NFR-H03</t>
  </si>
  <si>
    <t>資料保留、衍生資料與刪除</t>
  </si>
  <si>
    <t>US-N07</t>
  </si>
  <si>
    <t>幸福日照中心的林阿嬤與張阿姨顯示不同今日互動次數</t>
  </si>
  <si>
    <t>US-A06、D04</t>
  </si>
  <si>
    <t>分別定義錄音、逐字稿、事件、摘要、記憶、陪伴需求訊號、量表回答、待辦及稽核資料的保存期限。</t>
  </si>
  <si>
    <t>主動互動回饋與個人化改善</t>
  </si>
  <si>
    <t>刪除請求同步處理主要儲存、搜尋索引、記憶資料及衍生分析結果。</t>
  </si>
  <si>
    <t>ADV-KB</t>
  </si>
  <si>
    <t>身為長者或照護者，我希望回饋話題是否合適與時間是否適合，讓未來互動更貼近需求。</t>
  </si>
  <si>
    <t>進階模組</t>
  </si>
  <si>
    <t>知識庫建置與可信衛教回應</t>
  </si>
  <si>
    <t>NFR-H04</t>
  </si>
  <si>
    <t>醫療安全護欄</t>
  </si>
  <si>
    <t>US-E01～E04</t>
  </si>
  <si>
    <t>支援有幫助、沒幫助、不要再聊、時間不適合、內容重複與人工誤判回饋。</t>
  </si>
  <si>
    <t>回饋進入審查與統計流程，不得直接改動正式知識、醫療規則或模型。</t>
  </si>
  <si>
    <t>US-N03；US-N06</t>
  </si>
  <si>
    <t>來源、Chunk、檢索與引用</t>
  </si>
  <si>
    <t>所有生成式輸出</t>
  </si>
  <si>
    <t>攔截診斷、停藥、改藥、治療決策及未經驗證的疾病機率描述。</t>
  </si>
  <si>
    <t>不得輸出「已確診重度孤獨」「有百分之多少機率憂鬱」等診斷式內容。</t>
  </si>
  <si>
    <t>NFR-H05</t>
  </si>
  <si>
    <t>一般關懷與緊急事件分流</t>
  </si>
  <si>
    <t>ADV-PUSH</t>
  </si>
  <si>
    <t>US-K02、K03</t>
  </si>
  <si>
    <t>一般孤單表達、活動下降與互動變化進入照護者覆核流程。</t>
  </si>
  <si>
    <t>定時發布摘要並透過 LINE／Email 通知家屬</t>
  </si>
  <si>
    <t>明確即刻危險、跌倒或無法求助等內容進入固定安全指引與人工求助流程。</t>
  </si>
  <si>
    <t>NFR-H06</t>
  </si>
  <si>
    <t>TE-PRO01；NFR-Q03</t>
  </si>
  <si>
    <t>展示資料去識別化</t>
  </si>
  <si>
    <t>家屬 App／Web 先顯示正式摘要，再實際送出一次通知</t>
  </si>
  <si>
    <t>FAMILY-REPORT</t>
  </si>
  <si>
    <t>產品能力</t>
  </si>
  <si>
    <t>家屬可在 App／Web 查看每日摘要、週報、月報與歷史重要事件</t>
  </si>
  <si>
    <t>NFR-H01～H03；NFR-Q03</t>
  </si>
  <si>
    <t>Published 報表、歷史列表、資料不足、撤回授權與跨 elder 阻擋</t>
  </si>
  <si>
    <t>Demo 資料</t>
  </si>
  <si>
    <t>使用二至三位虛擬 Persona，不使用真實長者個資。</t>
  </si>
  <si>
    <t>ADV-TIMELINE</t>
  </si>
  <si>
    <t>音檔、姓名、電話、地址及健康資訊均為模擬或去識別化資料。</t>
  </si>
  <si>
    <t>以時間軸檢視每日事件與重要紀錄</t>
  </si>
  <si>
    <t>US-B04；US-C02</t>
  </si>
  <si>
    <t>TE-GR01～GR03</t>
  </si>
  <si>
    <t>效能／評估門檻</t>
  </si>
  <si>
    <t>事件時間軸＋來源</t>
  </si>
  <si>
    <t>語音與頁面效能</t>
  </si>
  <si>
    <t>BONUS-LANG</t>
  </si>
  <si>
    <t>加分</t>
  </si>
  <si>
    <t>語音結束至 ASR final：P95 不高於 2.5 秒；ASR timeout 5 秒。</t>
  </si>
  <si>
    <t>支援客語或原住民族語等本土低資源語言</t>
  </si>
  <si>
    <t>Agent 產生首段可播放內容：P95 不高於 5 秒；LLM timeout 10 秒。</t>
  </si>
  <si>
    <t>5%</t>
  </si>
  <si>
    <t>P50／P95、失敗率與固定評估集</t>
  </si>
  <si>
    <t>TE-VO01；TE-I02～I03</t>
  </si>
  <si>
    <t>穩定後展示客語語音或文字互動</t>
  </si>
  <si>
    <t>NFR-Q02</t>
  </si>
  <si>
    <t>Context、Agent 與 Graph 限制</t>
  </si>
  <si>
    <t>BONUS-KIRO</t>
  </si>
  <si>
    <t>使用 Kiro 進行開發或架構設計</t>
  </si>
  <si>
    <t>Agent、Context、Graph</t>
  </si>
  <si>
    <t>每輪最多帶入 8 筆已確認記憶與 12 筆近期事件；超出時依相關性與新鮮度截斷。</t>
  </si>
  <si>
    <t>—</t>
  </si>
  <si>
    <t>同一輪最多三個同步 Agent 步驟，超出部分改為非同步，不建立無上限遞迴。</t>
  </si>
  <si>
    <t>開發流程與 README 證據</t>
  </si>
  <si>
    <t>Kiro 規格／紀錄／畫面</t>
  </si>
  <si>
    <t>PII-1</t>
  </si>
  <si>
    <t>背景工作、通知與刪除</t>
  </si>
  <si>
    <t>隱私</t>
  </si>
  <si>
    <t>Wave 2–3</t>
  </si>
  <si>
    <t>不得使用真實長者個人資料</t>
  </si>
  <si>
    <t>摘要／通知</t>
  </si>
  <si>
    <t>US-B02、C03、D04</t>
  </si>
  <si>
    <t>每日摘要在排程後 15 分鐘內完成；失敗最多重試三次，之後進入 dead-letter queue 並告警。</t>
  </si>
  <si>
    <t>家屬通知最多重送三次，使用退避策略；仍失敗時顯示人工處理狀態，不得重複發送成功訊息。</t>
  </si>
  <si>
    <t>林阿嬤、張阿姨、陳伯伯三位虛擬 Persona</t>
  </si>
  <si>
    <t>待驗證</t>
  </si>
  <si>
    <t>NFR-Q04</t>
  </si>
  <si>
    <t>PII-2</t>
  </si>
  <si>
    <t>評估資料最低門檻</t>
  </si>
  <si>
    <t>評估與 Demo Gate</t>
  </si>
  <si>
    <t>Demo 固定測試至少包含 3 位虛擬 Persona、每種核心語言 30 句、正常／噪音／混語／否定／日期人物事件案例。</t>
  </si>
  <si>
    <t>ASR 報告至少包含 CER、WER、Key-slot Accuracy、Negation Accuracy、關鍵事件保留率及 final latency。</t>
  </si>
  <si>
    <t>展示資料為模擬或去識別化資料</t>
  </si>
  <si>
    <t>Demo 資料清單</t>
  </si>
  <si>
    <t>PII-3</t>
  </si>
  <si>
    <t>說明蒐集、儲存、傳輸加密與存取控制</t>
  </si>
  <si>
    <t>NFR-H01～H02</t>
  </si>
  <si>
    <t>架構圖＋權限測試</t>
  </si>
  <si>
    <t>PII-4</t>
  </si>
  <si>
    <t>語音／對話需同意機制與資料保留政策</t>
  </si>
  <si>
    <t>US-A06；US-D04</t>
  </si>
  <si>
    <t>同意畫面＋刪除測試</t>
  </si>
  <si>
    <t>MED-1</t>
  </si>
  <si>
    <t>醫療邊界</t>
  </si>
  <si>
    <t>僅供生活陪伴與健康資訊參考</t>
  </si>
  <si>
    <t>US-E03；US-F02</t>
  </si>
  <si>
    <t>固定非診斷提示</t>
  </si>
  <si>
    <t>MED-2</t>
  </si>
  <si>
    <t>不得提供醫療診斷或治療建議</t>
  </si>
  <si>
    <t>US-F02；US-K02</t>
  </si>
  <si>
    <t>NFR-H04～H05</t>
  </si>
  <si>
    <t>紅隊案例攔截</t>
  </si>
  <si>
    <t>SCORE-30</t>
  </si>
  <si>
    <t>評分</t>
  </si>
  <si>
    <t>完成度與 Demo 體驗</t>
  </si>
  <si>
    <t>30%</t>
  </si>
  <si>
    <t>Gate 1 薄切片</t>
  </si>
  <si>
    <t>同一情境完整跑通 A／B／C</t>
  </si>
  <si>
    <t>核心 Gate</t>
  </si>
  <si>
    <t>SCORE-25F</t>
  </si>
  <si>
    <t>技術可行性</t>
  </si>
  <si>
    <t>25%</t>
  </si>
  <si>
    <t>US-D02～D03；US-B02</t>
  </si>
  <si>
    <t>TE-J01～J04；TE-GR03</t>
  </si>
  <si>
    <t>可重試、可追蹤、可部署</t>
  </si>
  <si>
    <t>SCORE-25I</t>
  </si>
  <si>
    <t>AI 記憶、多語言、個人化等創意</t>
  </si>
  <si>
    <t>US-D01～D04；US-N01～N07</t>
  </si>
  <si>
    <t>TE-GR01～GR02；TE-VO01</t>
  </si>
  <si>
    <t>確認式記憶＋Graph＋主動陪伴</t>
  </si>
  <si>
    <t>差異化</t>
  </si>
  <si>
    <t>SCORE-20</t>
  </si>
  <si>
    <t>社會應用性與真實旅程</t>
  </si>
  <si>
    <t>20%</t>
  </si>
  <si>
    <t>US-B01～B04；US-C01～C05；US-K01～K03</t>
  </si>
  <si>
    <t>NFR-H01～H06</t>
  </si>
  <si>
    <t>長者＋專業照護者＋家屬資訊閉環</t>
  </si>
  <si>
    <t>DELIV-1</t>
  </si>
  <si>
    <t>最終交付</t>
  </si>
  <si>
    <t>Live Demo：完整使用者情境</t>
  </si>
  <si>
    <t>可重跑的現場情境</t>
  </si>
  <si>
    <t>待完成</t>
  </si>
  <si>
    <t>DELIV-2</t>
  </si>
  <si>
    <t>生成式 AI 技術與資料應用說明</t>
  </si>
  <si>
    <t>全部核心故事</t>
  </si>
  <si>
    <t>TE-J01～J05；TE-G01～G04</t>
  </si>
  <si>
    <t>技術說明頁</t>
  </si>
  <si>
    <t>DELIV-3</t>
  </si>
  <si>
    <t>長者＋專業照護者＋家屬端到端使用者旅程</t>
  </si>
  <si>
    <t>US-A01→US-C01→US-C02</t>
  </si>
  <si>
    <t>Persona 文件＋Story Map＋UX Flow</t>
  </si>
  <si>
    <t>本文件完成 Story Map</t>
  </si>
  <si>
    <t>AUTH-1</t>
  </si>
  <si>
    <t>權限</t>
  </si>
  <si>
    <t>跨 Persona／tenant 資料與介面隔離</t>
  </si>
  <si>
    <t>US-C01；US-C02；US-D03</t>
  </si>
  <si>
    <t>NFR-H01；TE-GR02</t>
  </si>
  <si>
    <t>機構帳號只看林阿嬤／張阿姨；居服員只看有效派案長者；家屬只看已授權報表；跨 elder 查詢被拒絕</t>
  </si>
  <si>
    <t>DELIV-5</t>
  </si>
  <si>
    <t>AWS 部署架構設計圖</t>
  </si>
  <si>
    <t>全部 Technical Enablers</t>
  </si>
  <si>
    <t>架構圖</t>
  </si>
  <si>
    <t>下一階段</t>
  </si>
  <si>
    <t>DELIV-6</t>
  </si>
  <si>
    <t>GitHub 原始碼與 README</t>
  </si>
  <si>
    <t>DoD／Release</t>
  </si>
  <si>
    <t>Repo、部署與操作說明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</si>
</sst>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rgb="FF000000"/>
      <name val="Carlito"/>
      <scheme val="minor"/>
    </font>
    <font>
      <b/>
      <sz val="16.0"/>
      <color rgb="FF202124"/>
      <name val="Noto Sans TC"/>
    </font>
    <font>
      <b/>
      <sz val="11.0"/>
      <color rgb="FF202124"/>
      <name val="Noto Sans TC"/>
    </font>
    <font>
      <sz val="11.0"/>
      <color theme="1"/>
      <name val="Noto Sans TC"/>
    </font>
    <font>
      <i/>
      <sz val="11.0"/>
      <color rgb="FF5F6368"/>
      <name val="Noto Sans TC"/>
    </font>
    <font>
      <sz val="11.0"/>
      <color rgb="FF202124"/>
      <name val="Noto Sans TC"/>
    </font>
    <font/>
    <font>
      <sz val="10.0"/>
      <color rgb="FF202124"/>
      <name val="Noto Sans TC"/>
    </font>
    <font>
      <b/>
      <sz val="9.0"/>
      <color rgb="FF202124"/>
      <name val="Noto Sans TC"/>
    </font>
    <font>
      <sz val="9.0"/>
      <color rgb="FF202124"/>
      <name val="Noto Sans TC"/>
    </font>
    <font>
      <b/>
      <sz val="10.0"/>
      <color rgb="FF202124"/>
      <name val="Noto Sans TC"/>
    </font>
    <font>
      <b/>
      <color rgb="FFFFFFFF"/>
      <name val="Carlito"/>
      <scheme val="minor"/>
    </font>
    <font>
      <color theme="1"/>
      <name val="Carlito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E8F0FE"/>
        <bgColor rgb="FFE8F0FE"/>
      </patternFill>
    </fill>
    <fill>
      <patternFill patternType="solid">
        <fgColor rgb="FFF1F3F4"/>
        <bgColor rgb="FFF1F3F4"/>
      </patternFill>
    </fill>
    <fill>
      <patternFill patternType="solid">
        <fgColor rgb="FFEDE7F6"/>
        <bgColor rgb="FFEDE7F6"/>
      </patternFill>
    </fill>
    <fill>
      <patternFill patternType="solid">
        <fgColor rgb="FFFFFFFF"/>
        <bgColor rgb="FFFFFFFF"/>
      </patternFill>
    </fill>
    <fill>
      <patternFill patternType="solid">
        <fgColor rgb="FFE6F4EA"/>
        <bgColor rgb="FFE6F4EA"/>
      </patternFill>
    </fill>
    <fill>
      <patternFill patternType="solid">
        <fgColor rgb="FFFFF8E1"/>
        <bgColor rgb="FFFFF8E1"/>
      </patternFill>
    </fill>
    <fill>
      <patternFill patternType="solid">
        <fgColor rgb="FFFCE8E6"/>
        <bgColor rgb="FFFCE8E6"/>
      </patternFill>
    </fill>
    <fill>
      <patternFill patternType="solid">
        <fgColor rgb="FFFEF7E0"/>
        <bgColor rgb="FFFEF7E0"/>
      </patternFill>
    </fill>
    <fill>
      <patternFill patternType="solid">
        <fgColor rgb="FF493D8C"/>
        <bgColor rgb="FF493D8C"/>
      </patternFill>
    </fill>
  </fills>
  <borders count="13">
    <border/>
    <border>
      <left style="thin">
        <color rgb="FFDADCE0"/>
      </left>
      <right style="thin">
        <color rgb="FFDADCE0"/>
      </right>
      <top style="thin">
        <color rgb="FFDADCE0"/>
      </top>
      <bottom style="thin">
        <color rgb="FFDADCE0"/>
      </bottom>
    </border>
    <border>
      <left style="thin">
        <color rgb="FFDADCE0"/>
      </left>
      <top style="thin">
        <color rgb="FFDADCE0"/>
      </top>
    </border>
    <border>
      <top style="thin">
        <color rgb="FFDADCE0"/>
      </top>
    </border>
    <border>
      <bottom style="thin">
        <color rgb="FFDADCE0"/>
      </bottom>
    </border>
    <border>
      <right style="thin">
        <color rgb="FFDADCE0"/>
      </right>
      <top style="thin">
        <color rgb="FFDADCE0"/>
      </top>
    </border>
    <border>
      <left style="thin">
        <color rgb="FFDADCE0"/>
      </left>
      <bottom style="thin">
        <color rgb="FFDADCE0"/>
      </bottom>
    </border>
    <border>
      <right style="thin">
        <color rgb="FFDADCE0"/>
      </right>
      <bottom style="thin">
        <color rgb="FFDADCE0"/>
      </bottom>
    </border>
    <border>
      <top style="thin">
        <color rgb="FFDADCE0"/>
      </top>
      <bottom style="thin">
        <color rgb="FFDADCE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vertical="center"/>
    </xf>
    <xf borderId="1" fillId="3" fontId="2" numFmtId="0" xfId="0" applyAlignment="1" applyBorder="1" applyFill="1" applyFont="1">
      <alignment horizontal="center" shrinkToFit="0" vertical="center" wrapText="1"/>
    </xf>
    <xf borderId="0" fillId="0" fontId="3" numFmtId="0" xfId="0" applyFont="1"/>
    <xf borderId="0" fillId="2" fontId="1" numFmtId="0" xfId="0" applyAlignment="1" applyFont="1">
      <alignment horizontal="left" readingOrder="0" vertical="center"/>
    </xf>
    <xf borderId="0" fillId="2" fontId="1" numFmtId="0" xfId="0" applyAlignment="1" applyFont="1">
      <alignment horizontal="left" readingOrder="0" vertical="center"/>
    </xf>
    <xf borderId="0" fillId="0" fontId="4" numFmtId="0" xfId="0" applyAlignment="1" applyFont="1">
      <alignment shrinkToFit="0" vertical="center" wrapText="1"/>
    </xf>
    <xf borderId="2" fillId="4" fontId="5" numFmtId="0" xfId="0" applyAlignment="1" applyBorder="1" applyFill="1" applyFont="1">
      <alignment readingOrder="0" shrinkToFit="0" vertical="center" wrapText="1"/>
    </xf>
    <xf borderId="3" fillId="0" fontId="6" numFmtId="0" xfId="0" applyBorder="1" applyFont="1"/>
    <xf borderId="4" fillId="0" fontId="7" numFmtId="0" xfId="0" applyAlignment="1" applyBorder="1" applyFont="1">
      <alignment horizontal="left" shrinkToFit="0" vertical="top" wrapText="1"/>
    </xf>
    <xf borderId="5" fillId="0" fontId="6" numFmtId="0" xfId="0" applyBorder="1" applyFont="1"/>
    <xf borderId="6" fillId="0" fontId="6" numFmtId="0" xfId="0" applyBorder="1" applyFont="1"/>
    <xf borderId="4" fillId="0" fontId="6" numFmtId="0" xfId="0" applyBorder="1" applyFont="1"/>
    <xf borderId="2" fillId="5" fontId="5" numFmtId="0" xfId="0" applyAlignment="1" applyBorder="1" applyFill="1" applyFont="1">
      <alignment shrinkToFit="0" vertical="center" wrapText="1"/>
    </xf>
    <xf borderId="1" fillId="3" fontId="2" numFmtId="0" xfId="0" applyAlignment="1" applyBorder="1" applyFont="1">
      <alignment horizontal="center" readingOrder="0" shrinkToFit="0" vertical="center" wrapText="1"/>
    </xf>
    <xf borderId="7" fillId="0" fontId="6" numFmtId="0" xfId="0" applyBorder="1" applyFont="1"/>
    <xf borderId="4" fillId="0" fontId="7" numFmtId="0" xfId="0" applyAlignment="1" applyBorder="1" applyFont="1">
      <alignment horizontal="center" shrinkToFit="0" vertical="top" wrapText="1"/>
    </xf>
    <xf borderId="1" fillId="5" fontId="8" numFmtId="0" xfId="0" applyAlignment="1" applyBorder="1" applyFont="1">
      <alignment horizontal="left" shrinkToFit="0" vertical="top" wrapText="1"/>
    </xf>
    <xf borderId="8" fillId="0" fontId="7" numFmtId="0" xfId="0" applyAlignment="1" applyBorder="1" applyFont="1">
      <alignment horizontal="left" shrinkToFit="0" vertical="top" wrapText="1"/>
    </xf>
    <xf borderId="8" fillId="0" fontId="7" numFmtId="0" xfId="0" applyAlignment="1" applyBorder="1" applyFont="1">
      <alignment horizontal="center" shrinkToFit="0" vertical="top" wrapText="1"/>
    </xf>
    <xf borderId="1" fillId="5" fontId="8" numFmtId="0" xfId="0" applyAlignment="1" applyBorder="1" applyFont="1">
      <alignment horizontal="left" readingOrder="0" shrinkToFit="0" vertical="top" wrapText="1"/>
    </xf>
    <xf borderId="4" fillId="6" fontId="7" numFmtId="0" xfId="0" applyAlignment="1" applyBorder="1" applyFill="1" applyFont="1">
      <alignment horizontal="left" shrinkToFit="0" vertical="top" wrapText="1"/>
    </xf>
    <xf borderId="4" fillId="7" fontId="7" numFmtId="0" xfId="0" applyAlignment="1" applyBorder="1" applyFill="1" applyFont="1">
      <alignment horizontal="left" shrinkToFit="0" vertical="top" wrapText="1"/>
    </xf>
    <xf borderId="1" fillId="4" fontId="8" numFmtId="0" xfId="0" applyAlignment="1" applyBorder="1" applyFont="1">
      <alignment horizontal="left" shrinkToFit="0" vertical="top" wrapText="1"/>
    </xf>
    <xf borderId="8" fillId="7" fontId="7" numFmtId="0" xfId="0" applyAlignment="1" applyBorder="1" applyFont="1">
      <alignment horizontal="left" shrinkToFit="0" vertical="top" wrapText="1"/>
    </xf>
    <xf borderId="1" fillId="4" fontId="8" numFmtId="0" xfId="0" applyAlignment="1" applyBorder="1" applyFont="1">
      <alignment horizontal="left" readingOrder="0" shrinkToFit="0" vertical="top" wrapText="1"/>
    </xf>
    <xf borderId="1" fillId="6" fontId="8" numFmtId="0" xfId="0" applyAlignment="1" applyBorder="1" applyFont="1">
      <alignment horizontal="left" shrinkToFit="0" vertical="top" wrapText="1"/>
    </xf>
    <xf borderId="1" fillId="6" fontId="9" numFmtId="0" xfId="0" applyAlignment="1" applyBorder="1" applyFont="1">
      <alignment horizontal="left" shrinkToFit="0" vertical="top" wrapText="1"/>
    </xf>
    <xf borderId="8" fillId="2" fontId="7" numFmtId="0" xfId="0" applyAlignment="1" applyBorder="1" applyFont="1">
      <alignment horizontal="left" readingOrder="0" shrinkToFit="0" vertical="top" wrapText="1"/>
    </xf>
    <xf borderId="8" fillId="8" fontId="7" numFmtId="0" xfId="0" applyAlignment="1" applyBorder="1" applyFill="1" applyFont="1">
      <alignment horizontal="left" shrinkToFit="0" vertical="top" wrapText="1"/>
    </xf>
    <xf borderId="1" fillId="2" fontId="8" numFmtId="0" xfId="0" applyAlignment="1" applyBorder="1" applyFont="1">
      <alignment horizontal="left" shrinkToFit="0" vertical="top" wrapText="1"/>
    </xf>
    <xf borderId="1" fillId="2" fontId="9" numFmtId="0" xfId="0" applyAlignment="1" applyBorder="1" applyFont="1">
      <alignment horizontal="left" shrinkToFit="0" vertical="top" wrapText="1"/>
    </xf>
    <xf borderId="1" fillId="2" fontId="9" numFmtId="0" xfId="0" applyAlignment="1" applyBorder="1" applyFont="1">
      <alignment horizontal="left" readingOrder="0" shrinkToFit="0" vertical="top" wrapText="1"/>
    </xf>
    <xf borderId="8" fillId="9" fontId="7" numFmtId="0" xfId="0" applyAlignment="1" applyBorder="1" applyFill="1" applyFont="1">
      <alignment horizontal="left" shrinkToFit="0" vertical="top" wrapText="1"/>
    </xf>
    <xf borderId="1" fillId="8" fontId="8" numFmtId="0" xfId="0" applyAlignment="1" applyBorder="1" applyFont="1">
      <alignment horizontal="left" shrinkToFit="0" vertical="top" wrapText="1"/>
    </xf>
    <xf borderId="1" fillId="8" fontId="9" numFmtId="0" xfId="0" applyAlignment="1" applyBorder="1" applyFont="1">
      <alignment horizontal="left" shrinkToFit="0" vertical="top" wrapText="1"/>
    </xf>
    <xf borderId="8" fillId="0" fontId="7" numFmtId="0" xfId="0" applyAlignment="1" applyBorder="1" applyFont="1">
      <alignment horizontal="center" readingOrder="0" shrinkToFit="0" vertical="top" wrapText="1"/>
    </xf>
    <xf borderId="8" fillId="0" fontId="7" numFmtId="0" xfId="0" applyAlignment="1" applyBorder="1" applyFont="1">
      <alignment horizontal="left" readingOrder="0" shrinkToFit="0" vertical="top" wrapText="1"/>
    </xf>
    <xf borderId="1" fillId="8" fontId="9" numFmtId="0" xfId="0" applyAlignment="1" applyBorder="1" applyFont="1">
      <alignment horizontal="left" readingOrder="0" shrinkToFit="0" vertical="top" wrapText="1"/>
    </xf>
    <xf borderId="1" fillId="4" fontId="2" numFmtId="0" xfId="0" applyAlignment="1" applyBorder="1" applyFont="1">
      <alignment shrinkToFit="0" vertical="center" wrapText="1"/>
    </xf>
    <xf borderId="8" fillId="0" fontId="7" numFmtId="0" xfId="0" applyAlignment="1" applyBorder="1" applyFont="1">
      <alignment horizontal="left" readingOrder="0" shrinkToFit="0" vertical="top" wrapText="1"/>
    </xf>
    <xf borderId="1" fillId="4" fontId="2" numFmtId="0" xfId="0" applyAlignment="1" applyBorder="1" applyFont="1">
      <alignment readingOrder="0" shrinkToFit="0" vertical="center" wrapText="1"/>
    </xf>
    <xf borderId="8" fillId="7" fontId="7" numFmtId="0" xfId="0" applyAlignment="1" applyBorder="1" applyFont="1">
      <alignment horizontal="left" readingOrder="0" shrinkToFit="0" vertical="top" wrapText="1"/>
    </xf>
    <xf borderId="0" fillId="0" fontId="3" numFmtId="0" xfId="0" applyAlignment="1" applyFont="1">
      <alignment readingOrder="0"/>
    </xf>
    <xf borderId="1" fillId="9" fontId="8" numFmtId="0" xfId="0" applyAlignment="1" applyBorder="1" applyFont="1">
      <alignment horizontal="left" shrinkToFit="0" vertical="top" wrapText="1"/>
    </xf>
    <xf borderId="1" fillId="9" fontId="9" numFmtId="0" xfId="0" applyAlignment="1" applyBorder="1" applyFont="1">
      <alignment horizontal="left" shrinkToFit="0" vertical="top" wrapText="1"/>
    </xf>
    <xf borderId="0" fillId="3" fontId="2" numFmtId="0" xfId="0" applyFont="1"/>
    <xf borderId="4" fillId="0" fontId="10" numFmtId="0" xfId="0" applyAlignment="1" applyBorder="1" applyFont="1">
      <alignment horizontal="left" shrinkToFit="0" vertical="top" wrapText="1"/>
    </xf>
    <xf borderId="8" fillId="0" fontId="10" numFmtId="0" xfId="0" applyAlignment="1" applyBorder="1" applyFont="1">
      <alignment horizontal="left" shrinkToFit="0" vertical="top" wrapText="1"/>
    </xf>
    <xf borderId="8" fillId="0" fontId="6" numFmtId="0" xfId="0" applyBorder="1" applyFont="1"/>
    <xf borderId="0" fillId="10" fontId="11" numFmtId="0" xfId="0" applyAlignment="1" applyFill="1" applyFont="1">
      <alignment horizontal="center" readingOrder="0" shrinkToFit="0" vertical="center" wrapText="1"/>
    </xf>
    <xf borderId="9" fillId="0" fontId="12" numFmtId="0" xfId="0" applyAlignment="1" applyBorder="1" applyFont="1">
      <alignment readingOrder="0" shrinkToFit="0" vertical="center" wrapText="1"/>
    </xf>
    <xf borderId="9" fillId="0" fontId="12" numFmtId="0" xfId="0" applyAlignment="1" applyBorder="1" applyFont="1">
      <alignment readingOrder="0" shrinkToFit="0" vertical="center" wrapText="1"/>
    </xf>
    <xf borderId="10" fillId="0" fontId="12" numFmtId="0" xfId="0" applyAlignment="1" applyBorder="1" applyFont="1">
      <alignment readingOrder="0" shrinkToFit="0" vertical="center" wrapText="1"/>
    </xf>
    <xf borderId="11" fillId="0" fontId="6" numFmtId="0" xfId="0" applyBorder="1" applyFont="1"/>
    <xf borderId="12" fillId="0" fontId="6" numFmtId="0" xfId="0" applyBorder="1" applyFont="1"/>
    <xf borderId="0" fillId="0" fontId="12" numFmtId="0" xfId="0" applyAlignment="1" applyFont="1">
      <alignment readingOrder="0"/>
    </xf>
  </cellXfs>
  <cellStyles count="1">
    <cellStyle xfId="0" name="Normal" builtinId="0"/>
  </cellStyles>
  <dxfs count="4">
    <dxf>
      <font>
        <b/>
      </font>
      <fill>
        <patternFill patternType="solid">
          <fgColor rgb="FFE6F4EA"/>
          <bgColor rgb="FFE6F4EA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FEF7E0"/>
          <bgColor rgb="FFFEF7E0"/>
        </patternFill>
      </fill>
      <border/>
    </dxf>
    <dxf>
      <font>
        <b/>
      </font>
      <fill>
        <patternFill patternType="solid">
          <fgColor rgb="FFEDE7F6"/>
          <bgColor rgb="FFEDE7F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71 BK" id="{e28e1990-07c6-46fb-95f7-598cbec04a32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7" dT="2026-07-23T07:55:11.00" personId="{e28e1990-07c6-46fb-95f7-598cbec04a32}" id="{282e44d8-7afd-4723-a816-654dbc355baf}" done="0">
    <x18tc:text xml:space="preserve">讓長者能說話、AI 能理解、記錄事件及記憶</x18tc:text>
  </x18tc:threadedComment>
  <x18tc:threadedComment ref="B8" dT="2026-07-23T07:55:26.00" personId="{e28e1990-07c6-46fb-95f7-598cbec04a32}" id="{0ea4c44e-de13-4260-b217-c49b2b76e83c}" done="0">
    <x18tc:text xml:space="preserve">讓照護者看得到摘要、事件並能修正</x18tc:text>
  </x18tc:threadedComment>
  <x18tc:threadedComment ref="B9" dT="2026-07-23T07:55:40.00" personId="{e28e1990-07c6-46fb-95f7-598cbec04a32}" id="{a0340f2b-1bac-4074-8ac5-7176b5502fa4}" done="0">
    <x18tc:text xml:space="preserve">加入 RAG、通知、陪伴需求及主動陪伴</x18tc:text>
  </x18tc:threadedComment>
  <x18tc:threadedComment ref="B10" dT="2026-07-23T07:55:49.00" personId="{e28e1990-07c6-46fb-95f7-598cbec04a32}" id="{c21d9052-a89b-4607-9cb1-7cd05c7c1a38}" done="0">
    <x18tc:text xml:space="preserve">加入遊戲、積分、語言優化及持續改善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0"/>
    <col customWidth="1" min="2" max="2" width="42.0"/>
    <col customWidth="1" min="3" max="4" width="15.0"/>
    <col customWidth="1" min="5" max="5" width="25.0"/>
    <col customWidth="1" min="6" max="6" width="3.0"/>
    <col customWidth="1" min="7" max="7" width="24.0"/>
    <col customWidth="1" min="8" max="9" width="34.0"/>
    <col customWidth="1" min="10" max="10" width="24.0"/>
    <col customWidth="1" min="11" max="26" width="8.63"/>
  </cols>
  <sheetData>
    <row r="1" ht="24.0" customHeight="1">
      <c r="A1" s="5" t="s">
        <v>1</v>
      </c>
    </row>
    <row r="2" ht="24.0" customHeight="1">
      <c r="A2" s="3"/>
      <c r="B2" s="3"/>
      <c r="C2" s="3"/>
      <c r="D2" s="3"/>
      <c r="E2" s="3"/>
      <c r="F2" s="3"/>
      <c r="G2" s="3"/>
      <c r="H2" s="3"/>
      <c r="I2" s="3"/>
      <c r="J2" s="3"/>
    </row>
    <row r="3" ht="37.5" customHeight="1">
      <c r="A3" s="13" t="s">
        <v>23</v>
      </c>
      <c r="B3" s="8"/>
      <c r="C3" s="8"/>
      <c r="D3" s="8"/>
      <c r="E3" s="8"/>
      <c r="F3" s="8"/>
      <c r="G3" s="8"/>
      <c r="H3" s="8"/>
      <c r="I3" s="8"/>
      <c r="J3" s="10"/>
    </row>
    <row r="4" ht="37.5" customHeight="1">
      <c r="A4" s="11"/>
      <c r="B4" s="12"/>
      <c r="C4" s="12"/>
      <c r="D4" s="12"/>
      <c r="E4" s="12"/>
      <c r="F4" s="12"/>
      <c r="G4" s="12"/>
      <c r="H4" s="12"/>
      <c r="I4" s="12"/>
      <c r="J4" s="15"/>
    </row>
    <row r="5" ht="24.0" customHeight="1">
      <c r="A5" s="3"/>
      <c r="B5" s="3"/>
      <c r="C5" s="3"/>
      <c r="D5" s="3"/>
      <c r="E5" s="3"/>
      <c r="F5" s="3"/>
      <c r="G5" s="3"/>
      <c r="H5" s="3"/>
      <c r="I5" s="3"/>
      <c r="J5" s="3"/>
    </row>
    <row r="6" ht="24.0" customHeight="1">
      <c r="A6" s="2" t="s">
        <v>11</v>
      </c>
      <c r="B6" s="2" t="s">
        <v>54</v>
      </c>
      <c r="C6" s="2" t="s">
        <v>58</v>
      </c>
      <c r="D6" s="2" t="s">
        <v>62</v>
      </c>
      <c r="E6" s="2" t="s">
        <v>65</v>
      </c>
      <c r="F6" s="3"/>
      <c r="G6" s="2" t="s">
        <v>71</v>
      </c>
      <c r="H6" s="2" t="s">
        <v>74</v>
      </c>
      <c r="I6" s="2" t="s">
        <v>77</v>
      </c>
      <c r="J6" s="2" t="s">
        <v>80</v>
      </c>
    </row>
    <row r="7" ht="24.0" customHeight="1">
      <c r="A7" s="21" t="s">
        <v>34</v>
      </c>
      <c r="B7" s="21" t="s">
        <v>88</v>
      </c>
      <c r="C7" s="21">
        <f>COUNTIF('02_Story Backlog'!$H$2:$H$43,A7)</f>
        <v>11</v>
      </c>
      <c r="D7" s="21">
        <f>COUNTIF('04_Enablers_NFR'!$D$2:$D$31,A7)</f>
        <v>21</v>
      </c>
      <c r="E7" s="21" t="s">
        <v>129</v>
      </c>
      <c r="F7" s="3"/>
      <c r="G7" s="9" t="s">
        <v>133</v>
      </c>
      <c r="H7" s="9" t="s">
        <v>135</v>
      </c>
      <c r="I7" s="9" t="s">
        <v>139</v>
      </c>
      <c r="J7" s="9" t="s">
        <v>141</v>
      </c>
    </row>
    <row r="8" ht="24.0" customHeight="1">
      <c r="A8" s="28" t="s">
        <v>145</v>
      </c>
      <c r="B8" s="28" t="s">
        <v>148</v>
      </c>
      <c r="C8" s="28">
        <v>18.0</v>
      </c>
      <c r="D8" s="28">
        <v>7.0</v>
      </c>
      <c r="E8" s="28" t="s">
        <v>156</v>
      </c>
      <c r="F8" s="3"/>
      <c r="G8" s="18" t="s">
        <v>160</v>
      </c>
      <c r="H8" s="18" t="s">
        <v>162</v>
      </c>
      <c r="I8" s="18" t="s">
        <v>168</v>
      </c>
      <c r="J8" s="18" t="s">
        <v>169</v>
      </c>
    </row>
    <row r="9" ht="24.0" customHeight="1">
      <c r="A9" s="29" t="s">
        <v>145</v>
      </c>
      <c r="B9" s="29" t="s">
        <v>179</v>
      </c>
      <c r="C9" s="29">
        <f>COUNTIF('02_Story Backlog'!$H$2:$H$43,A9)</f>
        <v>18</v>
      </c>
      <c r="D9" s="29">
        <f>COUNTIF('04_Enablers_NFR'!$D$2:$D$31,A9)+COUNTIF('04_Enablers_NFR'!$D$2:$D$31,"Wave 2–3")</f>
        <v>7</v>
      </c>
      <c r="E9" s="29" t="s">
        <v>156</v>
      </c>
      <c r="F9" s="3"/>
      <c r="G9" s="18" t="s">
        <v>199</v>
      </c>
      <c r="H9" s="18" t="s">
        <v>201</v>
      </c>
      <c r="I9" s="18" t="s">
        <v>203</v>
      </c>
      <c r="J9" s="18" t="s">
        <v>207</v>
      </c>
    </row>
    <row r="10" ht="24.0" customHeight="1">
      <c r="A10" s="33" t="s">
        <v>211</v>
      </c>
      <c r="B10" s="33" t="s">
        <v>220</v>
      </c>
      <c r="C10" s="33">
        <f>COUNTIF('02_Story Backlog'!$H$2:$H$43,A10)</f>
        <v>5</v>
      </c>
      <c r="D10" s="33">
        <f>COUNTIF('04_Enablers_NFR'!$D$2:$D$31,A10)</f>
        <v>2</v>
      </c>
      <c r="E10" s="33" t="s">
        <v>233</v>
      </c>
      <c r="F10" s="3"/>
      <c r="G10" s="18" t="s">
        <v>238</v>
      </c>
      <c r="H10" s="18" t="s">
        <v>118</v>
      </c>
      <c r="I10" s="18" t="s">
        <v>244</v>
      </c>
      <c r="J10" s="18" t="s">
        <v>247</v>
      </c>
    </row>
    <row r="11" ht="24.0" customHeight="1">
      <c r="A11" s="3"/>
      <c r="B11" s="3"/>
      <c r="C11" s="3"/>
      <c r="D11" s="3"/>
      <c r="E11" s="3"/>
      <c r="F11" s="3"/>
      <c r="G11" s="18" t="s">
        <v>256</v>
      </c>
      <c r="H11" s="18" t="s">
        <v>259</v>
      </c>
      <c r="I11" s="18" t="s">
        <v>262</v>
      </c>
      <c r="J11" s="18" t="s">
        <v>265</v>
      </c>
    </row>
    <row r="12" ht="24.0" customHeight="1">
      <c r="A12" s="3"/>
      <c r="B12" s="3"/>
      <c r="C12" s="3"/>
      <c r="D12" s="3"/>
      <c r="E12" s="3"/>
      <c r="F12" s="3"/>
      <c r="G12" s="18" t="s">
        <v>271</v>
      </c>
      <c r="H12" s="18" t="s">
        <v>180</v>
      </c>
      <c r="I12" s="18" t="s">
        <v>279</v>
      </c>
      <c r="J12" s="18" t="s">
        <v>282</v>
      </c>
    </row>
    <row r="13" ht="24.0" customHeight="1">
      <c r="A13" s="39" t="s">
        <v>284</v>
      </c>
      <c r="B13" s="41" t="s">
        <v>288</v>
      </c>
      <c r="C13" s="41">
        <v>15.0</v>
      </c>
      <c r="D13" s="39" t="s">
        <v>292</v>
      </c>
      <c r="E13" s="39" t="s">
        <v>294</v>
      </c>
      <c r="F13" s="3"/>
      <c r="G13" s="18" t="s">
        <v>298</v>
      </c>
      <c r="H13" s="18" t="s">
        <v>28</v>
      </c>
      <c r="I13" s="18" t="s">
        <v>303</v>
      </c>
      <c r="J13" s="18" t="s">
        <v>309</v>
      </c>
    </row>
    <row r="14" ht="24.0" customHeight="1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ht="24.0" customHeight="1">
      <c r="A15" s="46" t="s">
        <v>315</v>
      </c>
    </row>
    <row r="16" ht="24.0" customHeight="1">
      <c r="A16" s="47" t="s">
        <v>319</v>
      </c>
      <c r="B16" s="9" t="s">
        <v>325</v>
      </c>
      <c r="C16" s="12"/>
      <c r="D16" s="12"/>
      <c r="E16" s="12"/>
      <c r="F16" s="47" t="s">
        <v>329</v>
      </c>
      <c r="G16" s="9" t="s">
        <v>332</v>
      </c>
      <c r="H16" s="12"/>
      <c r="I16" s="12"/>
      <c r="J16" s="12"/>
    </row>
    <row r="17" ht="24.0" customHeight="1">
      <c r="A17" s="48" t="s">
        <v>338</v>
      </c>
      <c r="B17" s="18" t="s">
        <v>340</v>
      </c>
      <c r="C17" s="49"/>
      <c r="D17" s="49"/>
      <c r="E17" s="49"/>
      <c r="F17" s="48" t="s">
        <v>343</v>
      </c>
      <c r="G17" s="18" t="s">
        <v>344</v>
      </c>
      <c r="H17" s="49"/>
      <c r="I17" s="49"/>
      <c r="J17" s="49"/>
    </row>
    <row r="18" ht="24.0" customHeight="1">
      <c r="A18" s="48" t="s">
        <v>346</v>
      </c>
      <c r="B18" s="18" t="s">
        <v>348</v>
      </c>
      <c r="C18" s="49"/>
      <c r="D18" s="49"/>
      <c r="E18" s="49"/>
      <c r="F18" s="48" t="s">
        <v>354</v>
      </c>
      <c r="G18" s="18" t="s">
        <v>356</v>
      </c>
      <c r="H18" s="49"/>
      <c r="I18" s="49"/>
      <c r="J18" s="49"/>
    </row>
    <row r="19" ht="24.0" customHeight="1">
      <c r="A19" s="48" t="s">
        <v>358</v>
      </c>
      <c r="B19" s="18" t="s">
        <v>359</v>
      </c>
      <c r="C19" s="49"/>
      <c r="D19" s="49"/>
      <c r="E19" s="49"/>
      <c r="F19" s="48" t="s">
        <v>361</v>
      </c>
      <c r="G19" s="18" t="s">
        <v>362</v>
      </c>
      <c r="H19" s="49"/>
      <c r="I19" s="49"/>
      <c r="J19" s="49"/>
    </row>
    <row r="21" ht="15.75" customHeight="1">
      <c r="A21" s="50" t="s">
        <v>365</v>
      </c>
      <c r="B21" s="50" t="s">
        <v>369</v>
      </c>
      <c r="C21" s="50" t="s">
        <v>370</v>
      </c>
      <c r="D21" s="50" t="s">
        <v>371</v>
      </c>
      <c r="E21" s="50" t="s">
        <v>372</v>
      </c>
    </row>
    <row r="22" ht="15.75" customHeight="1">
      <c r="A22" s="51" t="s">
        <v>373</v>
      </c>
      <c r="B22" s="51" t="s">
        <v>377</v>
      </c>
      <c r="C22" s="51" t="s">
        <v>378</v>
      </c>
      <c r="D22" s="51" t="s">
        <v>379</v>
      </c>
      <c r="E22" s="51" t="s">
        <v>380</v>
      </c>
    </row>
    <row r="23" ht="15.75" customHeight="1">
      <c r="A23" s="51" t="s">
        <v>381</v>
      </c>
      <c r="B23" s="51" t="s">
        <v>377</v>
      </c>
      <c r="C23" s="51" t="s">
        <v>384</v>
      </c>
      <c r="D23" s="51" t="s">
        <v>386</v>
      </c>
      <c r="E23" s="51" t="s">
        <v>388</v>
      </c>
    </row>
    <row r="24" ht="15.75" customHeight="1">
      <c r="A24" s="51" t="s">
        <v>390</v>
      </c>
      <c r="B24" s="51" t="s">
        <v>391</v>
      </c>
      <c r="C24" s="51" t="s">
        <v>392</v>
      </c>
      <c r="D24" s="52" t="s">
        <v>393</v>
      </c>
      <c r="E24" s="51" t="s">
        <v>394</v>
      </c>
    </row>
    <row r="25" ht="15.75" customHeight="1">
      <c r="A25" s="51" t="s">
        <v>395</v>
      </c>
      <c r="B25" s="53" t="s">
        <v>397</v>
      </c>
      <c r="C25" s="54"/>
      <c r="D25" s="54"/>
      <c r="E25" s="55"/>
    </row>
    <row r="26" ht="15.75" customHeight="1">
      <c r="A26" s="56" t="s">
        <v>401</v>
      </c>
      <c r="B26" s="56" t="s">
        <v>403</v>
      </c>
      <c r="C26" s="56" t="s">
        <v>405</v>
      </c>
      <c r="D26" s="56" t="s">
        <v>406</v>
      </c>
      <c r="E26" s="56" t="s">
        <v>408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G17:J17"/>
    <mergeCell ref="G18:J18"/>
    <mergeCell ref="B19:E19"/>
    <mergeCell ref="G19:J19"/>
    <mergeCell ref="B25:E25"/>
    <mergeCell ref="A1:J1"/>
    <mergeCell ref="A3:J4"/>
    <mergeCell ref="A15:J15"/>
    <mergeCell ref="B16:E16"/>
    <mergeCell ref="G16:J16"/>
    <mergeCell ref="B17:E17"/>
    <mergeCell ref="B18:E18"/>
  </mergeCells>
  <printOptions/>
  <pageMargins bottom="0.75" footer="0.0" header="0.0" left="0.7" right="0.7" top="0.75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8.0"/>
    <col customWidth="1" min="2" max="11" width="24.0"/>
    <col customWidth="1" min="12" max="26" width="8.63"/>
  </cols>
  <sheetData>
    <row r="1" ht="31.5" customHeight="1">
      <c r="A1" s="1" t="s">
        <v>0</v>
      </c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>
      <c r="A3" s="6" t="s">
        <v>7</v>
      </c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ht="33.75" customHeight="1">
      <c r="A5" s="2" t="s">
        <v>17</v>
      </c>
      <c r="B5" s="2" t="s">
        <v>19</v>
      </c>
      <c r="C5" s="2" t="s">
        <v>21</v>
      </c>
      <c r="D5" s="2" t="s">
        <v>24</v>
      </c>
      <c r="E5" s="2" t="s">
        <v>27</v>
      </c>
      <c r="F5" s="2" t="s">
        <v>29</v>
      </c>
      <c r="G5" s="2" t="s">
        <v>33</v>
      </c>
      <c r="H5" s="14" t="s">
        <v>37</v>
      </c>
      <c r="I5" s="14" t="s">
        <v>38</v>
      </c>
      <c r="J5" s="14" t="s">
        <v>39</v>
      </c>
      <c r="K5" s="2" t="s">
        <v>40</v>
      </c>
    </row>
    <row r="6" ht="61.5" customHeight="1">
      <c r="A6" s="17" t="s">
        <v>43</v>
      </c>
      <c r="B6" s="17" t="s">
        <v>47</v>
      </c>
      <c r="C6" s="17" t="s">
        <v>49</v>
      </c>
      <c r="D6" s="17" t="s">
        <v>51</v>
      </c>
      <c r="E6" s="17" t="s">
        <v>56</v>
      </c>
      <c r="F6" s="17" t="s">
        <v>60</v>
      </c>
      <c r="G6" s="17" t="s">
        <v>63</v>
      </c>
      <c r="H6" s="20" t="s">
        <v>68</v>
      </c>
      <c r="I6" s="20" t="s">
        <v>76</v>
      </c>
      <c r="J6" s="20" t="s">
        <v>78</v>
      </c>
      <c r="K6" s="17" t="s">
        <v>82</v>
      </c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ht="81.75" customHeight="1">
      <c r="A8" s="23" t="s">
        <v>89</v>
      </c>
      <c r="B8" s="23" t="s">
        <v>94</v>
      </c>
      <c r="C8" s="23" t="s">
        <v>97</v>
      </c>
      <c r="D8" s="23" t="s">
        <v>101</v>
      </c>
      <c r="E8" s="23" t="s">
        <v>104</v>
      </c>
      <c r="F8" s="23" t="s">
        <v>107</v>
      </c>
      <c r="G8" s="23" t="s">
        <v>109</v>
      </c>
      <c r="H8" s="25" t="s">
        <v>114</v>
      </c>
      <c r="I8" s="23"/>
      <c r="J8" s="23"/>
      <c r="K8" s="2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ht="96.0" customHeight="1">
      <c r="A10" s="26" t="s">
        <v>138</v>
      </c>
      <c r="B10" s="27" t="s">
        <v>94</v>
      </c>
      <c r="C10" s="27" t="s">
        <v>97</v>
      </c>
      <c r="D10" s="27" t="s">
        <v>101</v>
      </c>
      <c r="E10" s="27" t="s">
        <v>104</v>
      </c>
      <c r="F10" s="27" t="s">
        <v>157</v>
      </c>
      <c r="G10" s="27" t="s">
        <v>161</v>
      </c>
      <c r="H10" s="27"/>
      <c r="I10" s="27"/>
      <c r="J10" s="27"/>
      <c r="K10" s="27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ht="96.0" customHeight="1">
      <c r="A12" s="30" t="s">
        <v>183</v>
      </c>
      <c r="B12" s="31"/>
      <c r="C12" s="31"/>
      <c r="D12" s="31"/>
      <c r="E12" s="31"/>
      <c r="F12" s="31" t="s">
        <v>200</v>
      </c>
      <c r="G12" s="31" t="s">
        <v>205</v>
      </c>
      <c r="H12" s="32" t="s">
        <v>210</v>
      </c>
      <c r="I12" s="31" t="s">
        <v>218</v>
      </c>
      <c r="J12" s="31"/>
      <c r="K12" s="31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ht="96.0" customHeight="1">
      <c r="A14" s="34" t="s">
        <v>236</v>
      </c>
      <c r="B14" s="35" t="s">
        <v>246</v>
      </c>
      <c r="C14" s="35"/>
      <c r="D14" s="35" t="s">
        <v>254</v>
      </c>
      <c r="E14" s="35" t="s">
        <v>257</v>
      </c>
      <c r="F14" s="35"/>
      <c r="G14" s="35"/>
      <c r="H14" s="35"/>
      <c r="I14" s="35" t="s">
        <v>268</v>
      </c>
      <c r="J14" s="38" t="s">
        <v>273</v>
      </c>
      <c r="K14" s="35" t="s">
        <v>281</v>
      </c>
    </row>
    <row r="15">
      <c r="A15" s="3"/>
      <c r="B15" s="3"/>
      <c r="C15" s="3"/>
      <c r="D15" s="3"/>
      <c r="E15" s="3"/>
      <c r="F15" s="3"/>
      <c r="G15" s="3"/>
      <c r="H15" s="3"/>
      <c r="I15" s="3"/>
      <c r="J15" s="43" t="s">
        <v>295</v>
      </c>
      <c r="K15" s="3"/>
    </row>
    <row r="16" ht="96.0" customHeight="1">
      <c r="A16" s="44" t="s">
        <v>304</v>
      </c>
      <c r="B16" s="45"/>
      <c r="C16" s="45"/>
      <c r="D16" s="45"/>
      <c r="E16" s="45"/>
      <c r="F16" s="45"/>
      <c r="G16" s="45"/>
      <c r="H16" s="45"/>
      <c r="I16" s="45"/>
      <c r="J16" s="45"/>
      <c r="K16" s="45" t="s">
        <v>334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1"/>
    <mergeCell ref="A3:K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12.0"/>
    <col customWidth="1" min="2" max="2" width="30.0"/>
    <col customWidth="1" min="3" max="3" width="18.0"/>
    <col customWidth="1" min="4" max="4" width="24.0"/>
    <col customWidth="1" min="5" max="5" width="30.0"/>
    <col customWidth="1" min="6" max="6" width="52.0"/>
    <col customWidth="1" min="7" max="7" width="22.0"/>
    <col customWidth="1" min="8" max="8" width="20.0"/>
    <col customWidth="1" min="9" max="9" width="30.0"/>
    <col customWidth="1" min="10" max="10" width="14.0"/>
    <col customWidth="1" min="11" max="12" width="46.0"/>
    <col customWidth="1" min="13" max="13" width="30.0"/>
    <col customWidth="1" min="14" max="14" width="38.0"/>
    <col customWidth="1" min="15" max="26" width="8.63"/>
  </cols>
  <sheetData>
    <row r="1">
      <c r="A1" s="2" t="s">
        <v>2</v>
      </c>
      <c r="B1" s="2" t="s">
        <v>4</v>
      </c>
      <c r="C1" s="2" t="s">
        <v>5</v>
      </c>
      <c r="D1" s="2" t="s">
        <v>6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14</v>
      </c>
      <c r="K1" s="2" t="s">
        <v>15</v>
      </c>
      <c r="L1" s="2" t="s">
        <v>16</v>
      </c>
      <c r="M1" s="2" t="s">
        <v>18</v>
      </c>
      <c r="N1" s="2" t="s">
        <v>20</v>
      </c>
    </row>
    <row r="2" ht="48.0" customHeight="1">
      <c r="A2" s="9" t="s">
        <v>22</v>
      </c>
      <c r="B2" s="9" t="s">
        <v>25</v>
      </c>
      <c r="C2" s="9" t="s">
        <v>26</v>
      </c>
      <c r="D2" s="9" t="s">
        <v>28</v>
      </c>
      <c r="E2" s="9" t="s">
        <v>30</v>
      </c>
      <c r="F2" s="9" t="s">
        <v>31</v>
      </c>
      <c r="G2" s="9" t="s">
        <v>32</v>
      </c>
      <c r="H2" s="9" t="s">
        <v>34</v>
      </c>
      <c r="I2" s="9" t="s">
        <v>35</v>
      </c>
      <c r="J2" s="16" t="s">
        <v>36</v>
      </c>
      <c r="K2" s="9" t="s">
        <v>41</v>
      </c>
      <c r="L2" s="9" t="s">
        <v>42</v>
      </c>
      <c r="M2" s="9" t="s">
        <v>44</v>
      </c>
      <c r="N2" s="9" t="s">
        <v>45</v>
      </c>
    </row>
    <row r="3" ht="48.0" customHeight="1">
      <c r="A3" s="18" t="s">
        <v>46</v>
      </c>
      <c r="B3" s="18" t="s">
        <v>25</v>
      </c>
      <c r="C3" s="18" t="s">
        <v>26</v>
      </c>
      <c r="D3" s="18" t="s">
        <v>28</v>
      </c>
      <c r="E3" s="18" t="s">
        <v>52</v>
      </c>
      <c r="F3" s="18" t="s">
        <v>55</v>
      </c>
      <c r="G3" s="18" t="s">
        <v>32</v>
      </c>
      <c r="H3" s="18" t="s">
        <v>34</v>
      </c>
      <c r="I3" s="18" t="s">
        <v>35</v>
      </c>
      <c r="J3" s="19" t="s">
        <v>36</v>
      </c>
      <c r="K3" s="18" t="s">
        <v>67</v>
      </c>
      <c r="L3" s="18" t="s">
        <v>70</v>
      </c>
      <c r="M3" s="18" t="s">
        <v>72</v>
      </c>
      <c r="N3" s="18" t="s">
        <v>45</v>
      </c>
    </row>
    <row r="4" ht="48.0" customHeight="1">
      <c r="A4" s="18" t="s">
        <v>75</v>
      </c>
      <c r="B4" s="18" t="s">
        <v>25</v>
      </c>
      <c r="C4" s="18" t="s">
        <v>26</v>
      </c>
      <c r="D4" s="18" t="s">
        <v>28</v>
      </c>
      <c r="E4" s="18" t="s">
        <v>95</v>
      </c>
      <c r="F4" s="18" t="s">
        <v>99</v>
      </c>
      <c r="G4" s="18" t="s">
        <v>32</v>
      </c>
      <c r="H4" s="18" t="s">
        <v>34</v>
      </c>
      <c r="I4" s="18" t="s">
        <v>35</v>
      </c>
      <c r="J4" s="19" t="s">
        <v>36</v>
      </c>
      <c r="K4" s="18" t="s">
        <v>110</v>
      </c>
      <c r="L4" s="18" t="s">
        <v>111</v>
      </c>
      <c r="M4" s="18" t="s">
        <v>46</v>
      </c>
      <c r="N4" s="18" t="s">
        <v>45</v>
      </c>
    </row>
    <row r="5" ht="48.0" customHeight="1">
      <c r="A5" s="18" t="s">
        <v>115</v>
      </c>
      <c r="B5" s="18" t="s">
        <v>25</v>
      </c>
      <c r="C5" s="18" t="s">
        <v>26</v>
      </c>
      <c r="D5" s="18" t="s">
        <v>118</v>
      </c>
      <c r="E5" s="18" t="s">
        <v>120</v>
      </c>
      <c r="F5" s="18" t="s">
        <v>122</v>
      </c>
      <c r="G5" s="18" t="s">
        <v>32</v>
      </c>
      <c r="H5" s="18" t="s">
        <v>34</v>
      </c>
      <c r="I5" s="18" t="s">
        <v>35</v>
      </c>
      <c r="J5" s="19" t="s">
        <v>36</v>
      </c>
      <c r="K5" s="18" t="s">
        <v>127</v>
      </c>
      <c r="L5" s="18" t="s">
        <v>128</v>
      </c>
      <c r="M5" s="18" t="s">
        <v>131</v>
      </c>
      <c r="N5" s="18" t="s">
        <v>45</v>
      </c>
    </row>
    <row r="6" ht="48.0" customHeight="1">
      <c r="A6" s="18" t="s">
        <v>136</v>
      </c>
      <c r="B6" s="18" t="s">
        <v>25</v>
      </c>
      <c r="C6" s="18" t="s">
        <v>26</v>
      </c>
      <c r="D6" s="18" t="s">
        <v>28</v>
      </c>
      <c r="E6" s="18" t="s">
        <v>143</v>
      </c>
      <c r="F6" s="18" t="s">
        <v>146</v>
      </c>
      <c r="G6" s="18" t="s">
        <v>32</v>
      </c>
      <c r="H6" s="18" t="s">
        <v>34</v>
      </c>
      <c r="I6" s="18" t="s">
        <v>35</v>
      </c>
      <c r="J6" s="19" t="s">
        <v>36</v>
      </c>
      <c r="K6" s="18" t="s">
        <v>150</v>
      </c>
      <c r="L6" s="18" t="s">
        <v>152</v>
      </c>
      <c r="M6" s="18" t="s">
        <v>154</v>
      </c>
      <c r="N6" s="18" t="s">
        <v>45</v>
      </c>
    </row>
    <row r="7" ht="48.0" customHeight="1">
      <c r="A7" s="18" t="s">
        <v>44</v>
      </c>
      <c r="B7" s="18" t="s">
        <v>25</v>
      </c>
      <c r="C7" s="18" t="s">
        <v>26</v>
      </c>
      <c r="D7" s="18" t="s">
        <v>163</v>
      </c>
      <c r="E7" s="18" t="s">
        <v>165</v>
      </c>
      <c r="F7" s="18" t="s">
        <v>167</v>
      </c>
      <c r="G7" s="18" t="s">
        <v>32</v>
      </c>
      <c r="H7" s="18" t="s">
        <v>34</v>
      </c>
      <c r="I7" s="18" t="s">
        <v>35</v>
      </c>
      <c r="J7" s="19" t="s">
        <v>36</v>
      </c>
      <c r="K7" s="18" t="s">
        <v>171</v>
      </c>
      <c r="L7" s="18" t="s">
        <v>173</v>
      </c>
      <c r="M7" s="18" t="s">
        <v>175</v>
      </c>
      <c r="N7" s="18" t="s">
        <v>45</v>
      </c>
    </row>
    <row r="8" ht="48.0" customHeight="1">
      <c r="A8" s="18" t="s">
        <v>177</v>
      </c>
      <c r="B8" s="18" t="s">
        <v>25</v>
      </c>
      <c r="C8" s="18" t="s">
        <v>26</v>
      </c>
      <c r="D8" s="18" t="s">
        <v>180</v>
      </c>
      <c r="E8" s="18" t="s">
        <v>181</v>
      </c>
      <c r="F8" s="18" t="s">
        <v>182</v>
      </c>
      <c r="G8" s="18" t="s">
        <v>184</v>
      </c>
      <c r="H8" s="18" t="s">
        <v>186</v>
      </c>
      <c r="I8" s="18" t="s">
        <v>35</v>
      </c>
      <c r="J8" s="19" t="s">
        <v>189</v>
      </c>
      <c r="K8" s="18" t="s">
        <v>191</v>
      </c>
      <c r="L8" s="18" t="s">
        <v>193</v>
      </c>
      <c r="M8" s="18" t="s">
        <v>196</v>
      </c>
      <c r="N8" s="18" t="s">
        <v>197</v>
      </c>
    </row>
    <row r="9" ht="48.0" customHeight="1">
      <c r="A9" s="18" t="s">
        <v>198</v>
      </c>
      <c r="B9" s="18" t="s">
        <v>202</v>
      </c>
      <c r="C9" s="18" t="s">
        <v>204</v>
      </c>
      <c r="D9" s="18" t="s">
        <v>209</v>
      </c>
      <c r="E9" s="18" t="s">
        <v>213</v>
      </c>
      <c r="F9" s="18" t="s">
        <v>217</v>
      </c>
      <c r="G9" s="18" t="s">
        <v>32</v>
      </c>
      <c r="H9" s="18" t="s">
        <v>34</v>
      </c>
      <c r="I9" s="18" t="s">
        <v>222</v>
      </c>
      <c r="J9" s="19" t="s">
        <v>36</v>
      </c>
      <c r="K9" s="18" t="s">
        <v>225</v>
      </c>
      <c r="L9" s="18" t="s">
        <v>227</v>
      </c>
      <c r="M9" s="18" t="s">
        <v>230</v>
      </c>
      <c r="N9" s="18" t="s">
        <v>45</v>
      </c>
    </row>
    <row r="10" ht="48.0" customHeight="1">
      <c r="A10" s="18" t="s">
        <v>232</v>
      </c>
      <c r="B10" s="18" t="s">
        <v>202</v>
      </c>
      <c r="C10" s="18" t="s">
        <v>204</v>
      </c>
      <c r="D10" s="18" t="s">
        <v>237</v>
      </c>
      <c r="E10" s="18" t="s">
        <v>240</v>
      </c>
      <c r="F10" s="18" t="s">
        <v>242</v>
      </c>
      <c r="G10" s="18" t="s">
        <v>32</v>
      </c>
      <c r="H10" s="18" t="s">
        <v>186</v>
      </c>
      <c r="I10" s="18" t="s">
        <v>222</v>
      </c>
      <c r="J10" s="19" t="s">
        <v>36</v>
      </c>
      <c r="K10" s="18" t="s">
        <v>249</v>
      </c>
      <c r="L10" s="18" t="s">
        <v>250</v>
      </c>
      <c r="M10" s="18" t="s">
        <v>252</v>
      </c>
      <c r="N10" s="18" t="s">
        <v>45</v>
      </c>
    </row>
    <row r="11" ht="48.0" customHeight="1">
      <c r="A11" s="18" t="s">
        <v>255</v>
      </c>
      <c r="B11" s="18" t="s">
        <v>202</v>
      </c>
      <c r="C11" s="18" t="s">
        <v>204</v>
      </c>
      <c r="D11" s="18" t="s">
        <v>261</v>
      </c>
      <c r="E11" s="18" t="s">
        <v>264</v>
      </c>
      <c r="F11" s="18" t="s">
        <v>267</v>
      </c>
      <c r="G11" s="18" t="s">
        <v>32</v>
      </c>
      <c r="H11" s="18" t="s">
        <v>186</v>
      </c>
      <c r="I11" s="18" t="s">
        <v>222</v>
      </c>
      <c r="J11" s="19" t="s">
        <v>36</v>
      </c>
      <c r="K11" s="18" t="s">
        <v>269</v>
      </c>
      <c r="L11" s="18" t="s">
        <v>272</v>
      </c>
      <c r="M11" s="18" t="s">
        <v>274</v>
      </c>
      <c r="N11" s="18" t="s">
        <v>45</v>
      </c>
    </row>
    <row r="12" ht="48.0" customHeight="1">
      <c r="A12" s="18" t="s">
        <v>277</v>
      </c>
      <c r="B12" s="18" t="s">
        <v>202</v>
      </c>
      <c r="C12" s="18" t="s">
        <v>204</v>
      </c>
      <c r="D12" s="18" t="s">
        <v>180</v>
      </c>
      <c r="E12" s="18" t="s">
        <v>285</v>
      </c>
      <c r="F12" s="18" t="s">
        <v>287</v>
      </c>
      <c r="G12" s="18" t="s">
        <v>184</v>
      </c>
      <c r="H12" s="18" t="s">
        <v>186</v>
      </c>
      <c r="I12" s="18" t="s">
        <v>222</v>
      </c>
      <c r="J12" s="19" t="s">
        <v>36</v>
      </c>
      <c r="K12" s="18" t="s">
        <v>291</v>
      </c>
      <c r="L12" s="18" t="s">
        <v>293</v>
      </c>
      <c r="M12" s="18" t="s">
        <v>252</v>
      </c>
      <c r="N12" s="18" t="s">
        <v>45</v>
      </c>
    </row>
    <row r="13" ht="48.0" customHeight="1">
      <c r="A13" s="37" t="s">
        <v>301</v>
      </c>
      <c r="B13" s="37" t="s">
        <v>305</v>
      </c>
      <c r="C13" s="37" t="s">
        <v>308</v>
      </c>
      <c r="D13" s="37" t="s">
        <v>310</v>
      </c>
      <c r="E13" s="37" t="s">
        <v>311</v>
      </c>
      <c r="F13" s="37" t="s">
        <v>312</v>
      </c>
      <c r="G13" s="37" t="s">
        <v>32</v>
      </c>
      <c r="H13" s="37" t="s">
        <v>186</v>
      </c>
      <c r="I13" s="37" t="s">
        <v>317</v>
      </c>
      <c r="J13" s="36" t="s">
        <v>36</v>
      </c>
      <c r="K13" s="37" t="s">
        <v>321</v>
      </c>
      <c r="L13" s="37" t="s">
        <v>323</v>
      </c>
      <c r="M13" s="37" t="s">
        <v>324</v>
      </c>
      <c r="N13" s="40" t="s">
        <v>330</v>
      </c>
    </row>
    <row r="14" ht="48.0" customHeight="1">
      <c r="A14" s="37" t="s">
        <v>335</v>
      </c>
      <c r="B14" s="37" t="s">
        <v>305</v>
      </c>
      <c r="C14" s="37" t="s">
        <v>308</v>
      </c>
      <c r="D14" s="37" t="s">
        <v>310</v>
      </c>
      <c r="E14" s="37" t="s">
        <v>341</v>
      </c>
      <c r="F14" s="37" t="s">
        <v>342</v>
      </c>
      <c r="G14" s="37" t="s">
        <v>32</v>
      </c>
      <c r="H14" s="37" t="s">
        <v>186</v>
      </c>
      <c r="I14" s="37" t="s">
        <v>317</v>
      </c>
      <c r="J14" s="36" t="s">
        <v>36</v>
      </c>
      <c r="K14" s="37" t="s">
        <v>345</v>
      </c>
      <c r="L14" s="37" t="s">
        <v>347</v>
      </c>
      <c r="M14" s="37" t="s">
        <v>349</v>
      </c>
      <c r="N14" s="37" t="s">
        <v>350</v>
      </c>
    </row>
    <row r="15" ht="48.0" customHeight="1">
      <c r="A15" s="37" t="s">
        <v>351</v>
      </c>
      <c r="B15" s="37" t="s">
        <v>305</v>
      </c>
      <c r="C15" s="37" t="s">
        <v>352</v>
      </c>
      <c r="D15" s="37" t="s">
        <v>353</v>
      </c>
      <c r="E15" s="37" t="s">
        <v>355</v>
      </c>
      <c r="F15" s="37" t="s">
        <v>357</v>
      </c>
      <c r="G15" s="37" t="s">
        <v>32</v>
      </c>
      <c r="H15" s="37" t="s">
        <v>145</v>
      </c>
      <c r="I15" s="37" t="s">
        <v>360</v>
      </c>
      <c r="J15" s="36" t="s">
        <v>189</v>
      </c>
      <c r="K15" s="37" t="s">
        <v>363</v>
      </c>
      <c r="L15" s="37" t="s">
        <v>364</v>
      </c>
      <c r="M15" s="37" t="s">
        <v>366</v>
      </c>
      <c r="N15" s="37" t="s">
        <v>367</v>
      </c>
    </row>
    <row r="16" ht="48.0" customHeight="1">
      <c r="A16" s="37" t="s">
        <v>368</v>
      </c>
      <c r="B16" s="37" t="s">
        <v>305</v>
      </c>
      <c r="C16" s="37" t="s">
        <v>308</v>
      </c>
      <c r="D16" s="37" t="s">
        <v>374</v>
      </c>
      <c r="E16" s="37" t="s">
        <v>375</v>
      </c>
      <c r="F16" s="37" t="s">
        <v>376</v>
      </c>
      <c r="G16" s="37" t="s">
        <v>32</v>
      </c>
      <c r="H16" s="37" t="s">
        <v>186</v>
      </c>
      <c r="I16" s="37" t="s">
        <v>317</v>
      </c>
      <c r="J16" s="36" t="s">
        <v>189</v>
      </c>
      <c r="K16" s="37" t="s">
        <v>382</v>
      </c>
      <c r="L16" s="37" t="s">
        <v>383</v>
      </c>
      <c r="M16" s="37" t="s">
        <v>385</v>
      </c>
      <c r="N16" s="37" t="s">
        <v>387</v>
      </c>
    </row>
    <row r="17" ht="48.0" customHeight="1">
      <c r="A17" s="37" t="s">
        <v>389</v>
      </c>
      <c r="B17" s="37" t="s">
        <v>305</v>
      </c>
      <c r="C17" s="37" t="s">
        <v>352</v>
      </c>
      <c r="D17" s="37" t="s">
        <v>353</v>
      </c>
      <c r="E17" s="37" t="s">
        <v>396</v>
      </c>
      <c r="F17" s="37" t="s">
        <v>398</v>
      </c>
      <c r="G17" s="37" t="s">
        <v>32</v>
      </c>
      <c r="H17" s="37" t="s">
        <v>145</v>
      </c>
      <c r="I17" s="37" t="s">
        <v>399</v>
      </c>
      <c r="J17" s="36" t="s">
        <v>189</v>
      </c>
      <c r="K17" s="37" t="s">
        <v>400</v>
      </c>
      <c r="L17" s="37" t="s">
        <v>402</v>
      </c>
      <c r="M17" s="37" t="s">
        <v>404</v>
      </c>
      <c r="N17" s="37" t="s">
        <v>407</v>
      </c>
    </row>
    <row r="18" ht="48.0" customHeight="1">
      <c r="A18" s="18" t="s">
        <v>409</v>
      </c>
      <c r="B18" s="18" t="s">
        <v>410</v>
      </c>
      <c r="C18" s="18" t="s">
        <v>26</v>
      </c>
      <c r="D18" s="18" t="s">
        <v>209</v>
      </c>
      <c r="E18" s="18" t="s">
        <v>411</v>
      </c>
      <c r="F18" s="18" t="s">
        <v>412</v>
      </c>
      <c r="G18" s="18" t="s">
        <v>32</v>
      </c>
      <c r="H18" s="18" t="s">
        <v>34</v>
      </c>
      <c r="I18" s="18" t="s">
        <v>413</v>
      </c>
      <c r="J18" s="19" t="s">
        <v>36</v>
      </c>
      <c r="K18" s="18" t="s">
        <v>414</v>
      </c>
      <c r="L18" s="18" t="s">
        <v>415</v>
      </c>
      <c r="M18" s="18" t="s">
        <v>416</v>
      </c>
      <c r="N18" s="18" t="s">
        <v>45</v>
      </c>
    </row>
    <row r="19" ht="48.0" customHeight="1">
      <c r="A19" s="18" t="s">
        <v>188</v>
      </c>
      <c r="B19" s="18" t="s">
        <v>410</v>
      </c>
      <c r="C19" s="18" t="s">
        <v>26</v>
      </c>
      <c r="D19" s="18" t="s">
        <v>261</v>
      </c>
      <c r="E19" s="18" t="s">
        <v>417</v>
      </c>
      <c r="F19" s="18" t="s">
        <v>418</v>
      </c>
      <c r="G19" s="18" t="s">
        <v>32</v>
      </c>
      <c r="H19" s="18" t="s">
        <v>34</v>
      </c>
      <c r="I19" s="18" t="s">
        <v>413</v>
      </c>
      <c r="J19" s="19" t="s">
        <v>36</v>
      </c>
      <c r="K19" s="18" t="s">
        <v>419</v>
      </c>
      <c r="L19" s="18" t="s">
        <v>420</v>
      </c>
      <c r="M19" s="18" t="s">
        <v>421</v>
      </c>
      <c r="N19" s="18" t="s">
        <v>45</v>
      </c>
    </row>
    <row r="20" ht="48.0" customHeight="1">
      <c r="A20" s="18" t="s">
        <v>422</v>
      </c>
      <c r="B20" s="18" t="s">
        <v>410</v>
      </c>
      <c r="C20" s="18" t="s">
        <v>26</v>
      </c>
      <c r="D20" s="18" t="s">
        <v>180</v>
      </c>
      <c r="E20" s="18" t="s">
        <v>423</v>
      </c>
      <c r="F20" s="18" t="s">
        <v>424</v>
      </c>
      <c r="G20" s="18" t="s">
        <v>32</v>
      </c>
      <c r="H20" s="18" t="s">
        <v>34</v>
      </c>
      <c r="I20" s="18" t="s">
        <v>413</v>
      </c>
      <c r="J20" s="19" t="s">
        <v>36</v>
      </c>
      <c r="K20" s="18" t="s">
        <v>425</v>
      </c>
      <c r="L20" s="18" t="s">
        <v>426</v>
      </c>
      <c r="M20" s="18" t="s">
        <v>427</v>
      </c>
      <c r="N20" s="18" t="s">
        <v>45</v>
      </c>
    </row>
    <row r="21" ht="48.0" customHeight="1">
      <c r="A21" s="18" t="s">
        <v>428</v>
      </c>
      <c r="B21" s="18" t="s">
        <v>410</v>
      </c>
      <c r="C21" s="18" t="s">
        <v>429</v>
      </c>
      <c r="D21" s="18" t="s">
        <v>261</v>
      </c>
      <c r="E21" s="18" t="s">
        <v>430</v>
      </c>
      <c r="F21" s="18" t="s">
        <v>431</v>
      </c>
      <c r="G21" s="18" t="s">
        <v>32</v>
      </c>
      <c r="H21" s="18" t="s">
        <v>34</v>
      </c>
      <c r="I21" s="18" t="s">
        <v>413</v>
      </c>
      <c r="J21" s="19" t="s">
        <v>189</v>
      </c>
      <c r="K21" s="18" t="s">
        <v>432</v>
      </c>
      <c r="L21" s="18" t="s">
        <v>433</v>
      </c>
      <c r="M21" s="18" t="s">
        <v>434</v>
      </c>
      <c r="N21" s="18" t="s">
        <v>197</v>
      </c>
    </row>
    <row r="22" ht="48.0" customHeight="1">
      <c r="A22" s="18" t="s">
        <v>435</v>
      </c>
      <c r="B22" s="18" t="s">
        <v>436</v>
      </c>
      <c r="C22" s="18" t="s">
        <v>26</v>
      </c>
      <c r="D22" s="18" t="s">
        <v>118</v>
      </c>
      <c r="E22" s="18" t="s">
        <v>437</v>
      </c>
      <c r="F22" s="18" t="s">
        <v>438</v>
      </c>
      <c r="G22" s="18" t="s">
        <v>184</v>
      </c>
      <c r="H22" s="18" t="s">
        <v>145</v>
      </c>
      <c r="I22" s="18" t="s">
        <v>439</v>
      </c>
      <c r="J22" s="19" t="s">
        <v>189</v>
      </c>
      <c r="K22" s="18" t="s">
        <v>440</v>
      </c>
      <c r="L22" s="18" t="s">
        <v>441</v>
      </c>
      <c r="M22" s="18" t="s">
        <v>442</v>
      </c>
      <c r="N22" s="18" t="s">
        <v>197</v>
      </c>
    </row>
    <row r="23" ht="48.0" customHeight="1">
      <c r="A23" s="18" t="s">
        <v>443</v>
      </c>
      <c r="B23" s="18" t="s">
        <v>436</v>
      </c>
      <c r="C23" s="18" t="s">
        <v>204</v>
      </c>
      <c r="D23" s="18" t="s">
        <v>118</v>
      </c>
      <c r="E23" s="18" t="s">
        <v>444</v>
      </c>
      <c r="F23" s="18" t="s">
        <v>445</v>
      </c>
      <c r="G23" s="18" t="s">
        <v>32</v>
      </c>
      <c r="H23" s="18" t="s">
        <v>145</v>
      </c>
      <c r="I23" s="18" t="s">
        <v>439</v>
      </c>
      <c r="J23" s="19" t="s">
        <v>189</v>
      </c>
      <c r="K23" s="18" t="s">
        <v>446</v>
      </c>
      <c r="L23" s="18" t="s">
        <v>447</v>
      </c>
      <c r="M23" s="18" t="s">
        <v>442</v>
      </c>
      <c r="N23" s="18" t="s">
        <v>197</v>
      </c>
    </row>
    <row r="24" ht="48.0" customHeight="1">
      <c r="A24" s="18" t="s">
        <v>448</v>
      </c>
      <c r="B24" s="18" t="s">
        <v>436</v>
      </c>
      <c r="C24" s="18" t="s">
        <v>449</v>
      </c>
      <c r="D24" s="18" t="s">
        <v>118</v>
      </c>
      <c r="E24" s="18" t="s">
        <v>450</v>
      </c>
      <c r="F24" s="18" t="s">
        <v>451</v>
      </c>
      <c r="G24" s="18" t="s">
        <v>32</v>
      </c>
      <c r="H24" s="18" t="s">
        <v>145</v>
      </c>
      <c r="I24" s="18" t="s">
        <v>439</v>
      </c>
      <c r="J24" s="19" t="s">
        <v>189</v>
      </c>
      <c r="K24" s="18" t="s">
        <v>453</v>
      </c>
      <c r="L24" s="18" t="s">
        <v>454</v>
      </c>
      <c r="M24" s="18" t="s">
        <v>456</v>
      </c>
      <c r="N24" s="18" t="s">
        <v>197</v>
      </c>
    </row>
    <row r="25" ht="48.0" customHeight="1">
      <c r="A25" s="18" t="s">
        <v>458</v>
      </c>
      <c r="B25" s="18" t="s">
        <v>436</v>
      </c>
      <c r="C25" s="18" t="s">
        <v>459</v>
      </c>
      <c r="D25" s="18" t="s">
        <v>460</v>
      </c>
      <c r="E25" s="18" t="s">
        <v>462</v>
      </c>
      <c r="F25" s="18" t="s">
        <v>463</v>
      </c>
      <c r="G25" s="18" t="s">
        <v>184</v>
      </c>
      <c r="H25" s="18" t="s">
        <v>145</v>
      </c>
      <c r="I25" s="18" t="s">
        <v>439</v>
      </c>
      <c r="J25" s="19" t="s">
        <v>189</v>
      </c>
      <c r="K25" s="18" t="s">
        <v>467</v>
      </c>
      <c r="L25" s="18" t="s">
        <v>468</v>
      </c>
      <c r="M25" s="18" t="s">
        <v>469</v>
      </c>
      <c r="N25" s="18" t="s">
        <v>197</v>
      </c>
    </row>
    <row r="26" ht="48.0" customHeight="1">
      <c r="A26" s="18" t="s">
        <v>471</v>
      </c>
      <c r="B26" s="18" t="s">
        <v>472</v>
      </c>
      <c r="C26" s="18" t="s">
        <v>26</v>
      </c>
      <c r="D26" s="18" t="s">
        <v>259</v>
      </c>
      <c r="E26" s="18" t="s">
        <v>476</v>
      </c>
      <c r="F26" s="18" t="s">
        <v>477</v>
      </c>
      <c r="G26" s="18" t="s">
        <v>184</v>
      </c>
      <c r="H26" s="18" t="s">
        <v>145</v>
      </c>
      <c r="I26" s="18" t="s">
        <v>480</v>
      </c>
      <c r="J26" s="19" t="s">
        <v>189</v>
      </c>
      <c r="K26" s="18" t="s">
        <v>484</v>
      </c>
      <c r="L26" s="18" t="s">
        <v>485</v>
      </c>
      <c r="M26" s="18" t="s">
        <v>488</v>
      </c>
      <c r="N26" s="18" t="s">
        <v>197</v>
      </c>
    </row>
    <row r="27" ht="48.0" customHeight="1">
      <c r="A27" s="18" t="s">
        <v>490</v>
      </c>
      <c r="B27" s="18" t="s">
        <v>472</v>
      </c>
      <c r="C27" s="18" t="s">
        <v>204</v>
      </c>
      <c r="D27" s="18" t="s">
        <v>374</v>
      </c>
      <c r="E27" s="18" t="s">
        <v>491</v>
      </c>
      <c r="F27" s="18" t="s">
        <v>492</v>
      </c>
      <c r="G27" s="18" t="s">
        <v>32</v>
      </c>
      <c r="H27" s="18" t="s">
        <v>186</v>
      </c>
      <c r="I27" s="18" t="s">
        <v>480</v>
      </c>
      <c r="J27" s="19" t="s">
        <v>189</v>
      </c>
      <c r="K27" s="18" t="s">
        <v>496</v>
      </c>
      <c r="L27" s="18" t="s">
        <v>497</v>
      </c>
      <c r="M27" s="18" t="s">
        <v>385</v>
      </c>
      <c r="N27" s="18" t="s">
        <v>197</v>
      </c>
    </row>
    <row r="28" ht="48.0" customHeight="1">
      <c r="A28" s="18" t="s">
        <v>499</v>
      </c>
      <c r="B28" s="18" t="s">
        <v>501</v>
      </c>
      <c r="C28" s="18" t="s">
        <v>204</v>
      </c>
      <c r="D28" s="18" t="s">
        <v>209</v>
      </c>
      <c r="E28" s="18" t="s">
        <v>503</v>
      </c>
      <c r="F28" s="18" t="s">
        <v>504</v>
      </c>
      <c r="G28" s="18" t="s">
        <v>32</v>
      </c>
      <c r="H28" s="18" t="s">
        <v>145</v>
      </c>
      <c r="I28" s="18" t="s">
        <v>507</v>
      </c>
      <c r="J28" s="19" t="s">
        <v>189</v>
      </c>
      <c r="K28" s="18" t="s">
        <v>509</v>
      </c>
      <c r="L28" s="18" t="s">
        <v>511</v>
      </c>
      <c r="M28" s="18" t="s">
        <v>512</v>
      </c>
      <c r="N28" s="18" t="s">
        <v>197</v>
      </c>
    </row>
    <row r="29" ht="48.0" customHeight="1">
      <c r="A29" s="18" t="s">
        <v>514</v>
      </c>
      <c r="B29" s="18" t="s">
        <v>501</v>
      </c>
      <c r="C29" s="18" t="s">
        <v>204</v>
      </c>
      <c r="D29" s="18" t="s">
        <v>374</v>
      </c>
      <c r="E29" s="18" t="s">
        <v>517</v>
      </c>
      <c r="F29" s="18" t="s">
        <v>518</v>
      </c>
      <c r="G29" s="18" t="s">
        <v>32</v>
      </c>
      <c r="H29" s="18" t="s">
        <v>145</v>
      </c>
      <c r="I29" s="18" t="s">
        <v>507</v>
      </c>
      <c r="J29" s="19" t="s">
        <v>189</v>
      </c>
      <c r="K29" s="18" t="s">
        <v>522</v>
      </c>
      <c r="L29" s="18" t="s">
        <v>523</v>
      </c>
      <c r="M29" s="18" t="s">
        <v>524</v>
      </c>
      <c r="N29" s="18" t="s">
        <v>197</v>
      </c>
    </row>
    <row r="30" ht="48.0" customHeight="1">
      <c r="A30" s="18" t="s">
        <v>526</v>
      </c>
      <c r="B30" s="18" t="s">
        <v>501</v>
      </c>
      <c r="C30" s="18" t="s">
        <v>204</v>
      </c>
      <c r="D30" s="18" t="s">
        <v>374</v>
      </c>
      <c r="E30" s="18" t="s">
        <v>530</v>
      </c>
      <c r="F30" s="18" t="s">
        <v>531</v>
      </c>
      <c r="G30" s="18" t="s">
        <v>32</v>
      </c>
      <c r="H30" s="18" t="s">
        <v>145</v>
      </c>
      <c r="I30" s="18" t="s">
        <v>507</v>
      </c>
      <c r="J30" s="19" t="s">
        <v>189</v>
      </c>
      <c r="K30" s="18" t="s">
        <v>533</v>
      </c>
      <c r="L30" s="18" t="s">
        <v>536</v>
      </c>
      <c r="M30" s="18" t="s">
        <v>537</v>
      </c>
      <c r="N30" s="18" t="s">
        <v>197</v>
      </c>
    </row>
    <row r="31" ht="48.0" customHeight="1">
      <c r="A31" s="18" t="s">
        <v>539</v>
      </c>
      <c r="B31" s="18" t="s">
        <v>501</v>
      </c>
      <c r="C31" s="18" t="s">
        <v>204</v>
      </c>
      <c r="D31" s="18" t="s">
        <v>374</v>
      </c>
      <c r="E31" s="18" t="s">
        <v>543</v>
      </c>
      <c r="F31" s="18" t="s">
        <v>545</v>
      </c>
      <c r="G31" s="18" t="s">
        <v>184</v>
      </c>
      <c r="H31" s="18" t="s">
        <v>145</v>
      </c>
      <c r="I31" s="18" t="s">
        <v>507</v>
      </c>
      <c r="J31" s="19" t="s">
        <v>189</v>
      </c>
      <c r="K31" s="18" t="s">
        <v>547</v>
      </c>
      <c r="L31" s="18" t="s">
        <v>548</v>
      </c>
      <c r="M31" s="18" t="s">
        <v>549</v>
      </c>
      <c r="N31" s="18" t="s">
        <v>197</v>
      </c>
    </row>
    <row r="32" ht="48.0" customHeight="1">
      <c r="A32" s="18" t="s">
        <v>552</v>
      </c>
      <c r="B32" s="18" t="s">
        <v>554</v>
      </c>
      <c r="C32" s="18" t="s">
        <v>26</v>
      </c>
      <c r="D32" s="18" t="s">
        <v>460</v>
      </c>
      <c r="E32" s="18" t="s">
        <v>558</v>
      </c>
      <c r="F32" s="18" t="s">
        <v>560</v>
      </c>
      <c r="G32" s="18" t="s">
        <v>184</v>
      </c>
      <c r="H32" s="18" t="s">
        <v>211</v>
      </c>
      <c r="I32" s="18" t="s">
        <v>568</v>
      </c>
      <c r="J32" s="19" t="s">
        <v>189</v>
      </c>
      <c r="K32" s="18" t="s">
        <v>570</v>
      </c>
      <c r="L32" s="18" t="s">
        <v>571</v>
      </c>
      <c r="M32" s="18" t="s">
        <v>574</v>
      </c>
      <c r="N32" s="18" t="s">
        <v>197</v>
      </c>
    </row>
    <row r="33" ht="48.0" customHeight="1">
      <c r="A33" s="18" t="s">
        <v>576</v>
      </c>
      <c r="B33" s="18" t="s">
        <v>554</v>
      </c>
      <c r="C33" s="18" t="s">
        <v>26</v>
      </c>
      <c r="D33" s="18" t="s">
        <v>460</v>
      </c>
      <c r="E33" s="18" t="s">
        <v>581</v>
      </c>
      <c r="F33" s="18" t="s">
        <v>583</v>
      </c>
      <c r="G33" s="18" t="s">
        <v>184</v>
      </c>
      <c r="H33" s="18" t="s">
        <v>211</v>
      </c>
      <c r="I33" s="18" t="s">
        <v>568</v>
      </c>
      <c r="J33" s="19" t="s">
        <v>189</v>
      </c>
      <c r="K33" s="18" t="s">
        <v>590</v>
      </c>
      <c r="L33" s="18" t="s">
        <v>591</v>
      </c>
      <c r="M33" s="18" t="s">
        <v>552</v>
      </c>
      <c r="N33" s="18" t="s">
        <v>197</v>
      </c>
    </row>
    <row r="34" ht="48.0" customHeight="1">
      <c r="A34" s="18" t="s">
        <v>593</v>
      </c>
      <c r="B34" s="18" t="s">
        <v>554</v>
      </c>
      <c r="C34" s="18" t="s">
        <v>26</v>
      </c>
      <c r="D34" s="18" t="s">
        <v>460</v>
      </c>
      <c r="E34" s="18" t="s">
        <v>597</v>
      </c>
      <c r="F34" s="18" t="s">
        <v>599</v>
      </c>
      <c r="G34" s="18" t="s">
        <v>553</v>
      </c>
      <c r="H34" s="18" t="s">
        <v>211</v>
      </c>
      <c r="I34" s="18" t="s">
        <v>568</v>
      </c>
      <c r="J34" s="19" t="s">
        <v>189</v>
      </c>
      <c r="K34" s="18" t="s">
        <v>604</v>
      </c>
      <c r="L34" s="18" t="s">
        <v>606</v>
      </c>
      <c r="M34" s="18" t="s">
        <v>607</v>
      </c>
      <c r="N34" s="18" t="s">
        <v>197</v>
      </c>
    </row>
    <row r="35" ht="48.0" customHeight="1">
      <c r="A35" s="18" t="s">
        <v>609</v>
      </c>
      <c r="B35" s="18" t="s">
        <v>554</v>
      </c>
      <c r="C35" s="18" t="s">
        <v>612</v>
      </c>
      <c r="D35" s="18" t="s">
        <v>460</v>
      </c>
      <c r="E35" s="18" t="s">
        <v>615</v>
      </c>
      <c r="F35" s="18" t="s">
        <v>618</v>
      </c>
      <c r="G35" s="18" t="s">
        <v>184</v>
      </c>
      <c r="H35" s="18" t="s">
        <v>211</v>
      </c>
      <c r="I35" s="18" t="s">
        <v>568</v>
      </c>
      <c r="J35" s="19" t="s">
        <v>189</v>
      </c>
      <c r="K35" s="18" t="s">
        <v>624</v>
      </c>
      <c r="L35" s="18" t="s">
        <v>625</v>
      </c>
      <c r="M35" s="18" t="s">
        <v>442</v>
      </c>
      <c r="N35" s="18" t="s">
        <v>197</v>
      </c>
    </row>
    <row r="36" ht="48.0" customHeight="1">
      <c r="A36" s="18" t="s">
        <v>630</v>
      </c>
      <c r="B36" s="18" t="s">
        <v>631</v>
      </c>
      <c r="C36" s="18" t="s">
        <v>449</v>
      </c>
      <c r="D36" s="18" t="s">
        <v>460</v>
      </c>
      <c r="E36" s="18" t="s">
        <v>632</v>
      </c>
      <c r="F36" s="18" t="s">
        <v>638</v>
      </c>
      <c r="G36" s="18" t="s">
        <v>184</v>
      </c>
      <c r="H36" s="18" t="s">
        <v>211</v>
      </c>
      <c r="I36" s="18" t="s">
        <v>641</v>
      </c>
      <c r="J36" s="19" t="s">
        <v>189</v>
      </c>
      <c r="K36" s="18" t="s">
        <v>643</v>
      </c>
      <c r="L36" s="18" t="s">
        <v>644</v>
      </c>
      <c r="M36" s="18" t="s">
        <v>646</v>
      </c>
      <c r="N36" s="18" t="s">
        <v>197</v>
      </c>
    </row>
    <row r="37" ht="48.0" customHeight="1">
      <c r="A37" s="18" t="s">
        <v>647</v>
      </c>
      <c r="B37" s="18" t="s">
        <v>648</v>
      </c>
      <c r="C37" s="18" t="s">
        <v>26</v>
      </c>
      <c r="D37" s="18" t="s">
        <v>163</v>
      </c>
      <c r="E37" s="18" t="s">
        <v>651</v>
      </c>
      <c r="F37" s="18" t="s">
        <v>652</v>
      </c>
      <c r="G37" s="18" t="s">
        <v>184</v>
      </c>
      <c r="H37" s="18" t="s">
        <v>145</v>
      </c>
      <c r="I37" s="18" t="s">
        <v>656</v>
      </c>
      <c r="J37" s="19" t="s">
        <v>189</v>
      </c>
      <c r="K37" s="18" t="s">
        <v>659</v>
      </c>
      <c r="L37" s="18" t="s">
        <v>660</v>
      </c>
      <c r="M37" s="18" t="s">
        <v>661</v>
      </c>
      <c r="N37" s="18" t="s">
        <v>197</v>
      </c>
    </row>
    <row r="38" ht="48.0" customHeight="1">
      <c r="A38" s="18" t="s">
        <v>664</v>
      </c>
      <c r="B38" s="18" t="s">
        <v>648</v>
      </c>
      <c r="C38" s="18" t="s">
        <v>26</v>
      </c>
      <c r="D38" s="18" t="s">
        <v>259</v>
      </c>
      <c r="E38" s="18" t="s">
        <v>667</v>
      </c>
      <c r="F38" s="18" t="s">
        <v>668</v>
      </c>
      <c r="G38" s="18" t="s">
        <v>184</v>
      </c>
      <c r="H38" s="18" t="s">
        <v>145</v>
      </c>
      <c r="I38" s="18" t="s">
        <v>656</v>
      </c>
      <c r="J38" s="19" t="s">
        <v>189</v>
      </c>
      <c r="K38" s="18" t="s">
        <v>673</v>
      </c>
      <c r="L38" s="18" t="s">
        <v>674</v>
      </c>
      <c r="M38" s="18" t="s">
        <v>675</v>
      </c>
      <c r="N38" s="18" t="s">
        <v>197</v>
      </c>
    </row>
    <row r="39" ht="48.0" customHeight="1">
      <c r="A39" s="18" t="s">
        <v>680</v>
      </c>
      <c r="B39" s="18" t="s">
        <v>648</v>
      </c>
      <c r="C39" s="18" t="s">
        <v>26</v>
      </c>
      <c r="D39" s="18" t="s">
        <v>259</v>
      </c>
      <c r="E39" s="18" t="s">
        <v>683</v>
      </c>
      <c r="F39" s="18" t="s">
        <v>685</v>
      </c>
      <c r="G39" s="18" t="s">
        <v>184</v>
      </c>
      <c r="H39" s="18" t="s">
        <v>145</v>
      </c>
      <c r="I39" s="18" t="s">
        <v>656</v>
      </c>
      <c r="J39" s="19" t="s">
        <v>189</v>
      </c>
      <c r="K39" s="18" t="s">
        <v>691</v>
      </c>
      <c r="L39" s="18" t="s">
        <v>693</v>
      </c>
      <c r="M39" s="18" t="s">
        <v>694</v>
      </c>
      <c r="N39" s="18" t="s">
        <v>197</v>
      </c>
    </row>
    <row r="40" ht="48.0" customHeight="1">
      <c r="A40" s="18" t="s">
        <v>699</v>
      </c>
      <c r="B40" s="18" t="s">
        <v>648</v>
      </c>
      <c r="C40" s="18" t="s">
        <v>26</v>
      </c>
      <c r="D40" s="18" t="s">
        <v>259</v>
      </c>
      <c r="E40" s="18" t="s">
        <v>703</v>
      </c>
      <c r="F40" s="18" t="s">
        <v>705</v>
      </c>
      <c r="G40" s="18" t="s">
        <v>184</v>
      </c>
      <c r="H40" s="18" t="s">
        <v>145</v>
      </c>
      <c r="I40" s="18" t="s">
        <v>656</v>
      </c>
      <c r="J40" s="19" t="s">
        <v>189</v>
      </c>
      <c r="K40" s="18" t="s">
        <v>711</v>
      </c>
      <c r="L40" s="18" t="s">
        <v>713</v>
      </c>
      <c r="M40" s="18" t="s">
        <v>714</v>
      </c>
      <c r="N40" s="18" t="s">
        <v>197</v>
      </c>
    </row>
    <row r="41" ht="48.0" customHeight="1">
      <c r="A41" s="18" t="s">
        <v>716</v>
      </c>
      <c r="B41" s="18" t="s">
        <v>648</v>
      </c>
      <c r="C41" s="18" t="s">
        <v>26</v>
      </c>
      <c r="D41" s="18" t="s">
        <v>259</v>
      </c>
      <c r="E41" s="18" t="s">
        <v>723</v>
      </c>
      <c r="F41" s="18" t="s">
        <v>724</v>
      </c>
      <c r="G41" s="18" t="s">
        <v>184</v>
      </c>
      <c r="H41" s="18" t="s">
        <v>145</v>
      </c>
      <c r="I41" s="18" t="s">
        <v>656</v>
      </c>
      <c r="J41" s="19" t="s">
        <v>189</v>
      </c>
      <c r="K41" s="18" t="s">
        <v>730</v>
      </c>
      <c r="L41" s="18" t="s">
        <v>731</v>
      </c>
      <c r="M41" s="18" t="s">
        <v>732</v>
      </c>
      <c r="N41" s="18" t="s">
        <v>197</v>
      </c>
    </row>
    <row r="42" ht="48.0" customHeight="1">
      <c r="A42" s="18" t="s">
        <v>736</v>
      </c>
      <c r="B42" s="18" t="s">
        <v>648</v>
      </c>
      <c r="C42" s="18" t="s">
        <v>204</v>
      </c>
      <c r="D42" s="18" t="s">
        <v>374</v>
      </c>
      <c r="E42" s="18" t="s">
        <v>741</v>
      </c>
      <c r="F42" s="18" t="s">
        <v>743</v>
      </c>
      <c r="G42" s="18" t="s">
        <v>184</v>
      </c>
      <c r="H42" s="18" t="s">
        <v>145</v>
      </c>
      <c r="I42" s="18" t="s">
        <v>656</v>
      </c>
      <c r="J42" s="19" t="s">
        <v>189</v>
      </c>
      <c r="K42" s="18" t="s">
        <v>749</v>
      </c>
      <c r="L42" s="18" t="s">
        <v>750</v>
      </c>
      <c r="M42" s="18" t="s">
        <v>752</v>
      </c>
      <c r="N42" s="18" t="s">
        <v>197</v>
      </c>
    </row>
    <row r="43" ht="48.0" customHeight="1">
      <c r="A43" s="18" t="s">
        <v>755</v>
      </c>
      <c r="B43" s="18" t="s">
        <v>648</v>
      </c>
      <c r="C43" s="18" t="s">
        <v>449</v>
      </c>
      <c r="D43" s="18" t="s">
        <v>259</v>
      </c>
      <c r="E43" s="18" t="s">
        <v>759</v>
      </c>
      <c r="F43" s="18" t="s">
        <v>762</v>
      </c>
      <c r="G43" s="18" t="s">
        <v>184</v>
      </c>
      <c r="H43" s="18" t="s">
        <v>145</v>
      </c>
      <c r="I43" s="18" t="s">
        <v>656</v>
      </c>
      <c r="J43" s="19" t="s">
        <v>189</v>
      </c>
      <c r="K43" s="18" t="s">
        <v>768</v>
      </c>
      <c r="L43" s="18" t="s">
        <v>769</v>
      </c>
      <c r="M43" s="18" t="s">
        <v>770</v>
      </c>
      <c r="N43" s="18" t="s">
        <v>197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autoFilter ref="$A$1:$N$43"/>
  <conditionalFormatting sqref="G2:G43">
    <cfRule type="containsText" dxfId="0" priority="1" operator="containsText" text="MUST SHIP">
      <formula>NOT(ISERROR(SEARCH(("MUST SHIP"),(G2))))</formula>
    </cfRule>
  </conditionalFormatting>
  <conditionalFormatting sqref="G2:G43">
    <cfRule type="containsText" dxfId="1" priority="2" operator="containsText" text="COMMITTED">
      <formula>NOT(ISERROR(SEARCH(("COMMITTED"),(G2))))</formula>
    </cfRule>
  </conditionalFormatting>
  <conditionalFormatting sqref="G2:G43">
    <cfRule type="containsText" dxfId="2" priority="3" operator="containsText" text="BONUS">
      <formula>NOT(ISERROR(SEARCH(("BONUS"),(G2))))</formula>
    </cfRule>
  </conditionalFormatting>
  <conditionalFormatting sqref="J2:J43">
    <cfRule type="containsText" dxfId="3" priority="4" operator="containsText" text="是">
      <formula>NOT(ISERROR(SEARCH(("是"),(J2))))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8.0"/>
    <col customWidth="1" min="2" max="2" width="14.0"/>
    <col customWidth="1" min="3" max="3" width="30.0"/>
    <col customWidth="1" min="4" max="4" width="46.0"/>
    <col customWidth="1" min="5" max="6" width="30.0"/>
    <col customWidth="1" min="7" max="7" width="34.0"/>
    <col customWidth="1" min="8" max="9" width="42.0"/>
    <col customWidth="1" min="10" max="10" width="16.0"/>
    <col customWidth="1" min="11" max="26" width="8.63"/>
  </cols>
  <sheetData>
    <row r="1" ht="31.5" customHeight="1">
      <c r="A1" s="4" t="s">
        <v>3</v>
      </c>
    </row>
    <row r="2">
      <c r="A2" s="3"/>
      <c r="B2" s="3"/>
      <c r="C2" s="3"/>
      <c r="D2" s="3"/>
      <c r="E2" s="3"/>
      <c r="F2" s="3"/>
      <c r="G2" s="3"/>
      <c r="H2" s="3"/>
      <c r="I2" s="3"/>
      <c r="J2" s="3"/>
    </row>
    <row r="3">
      <c r="A3" s="7" t="s">
        <v>13</v>
      </c>
      <c r="B3" s="8"/>
      <c r="C3" s="8"/>
      <c r="D3" s="8"/>
      <c r="E3" s="8"/>
      <c r="F3" s="8"/>
      <c r="G3" s="8"/>
      <c r="H3" s="8"/>
      <c r="I3" s="8"/>
      <c r="J3" s="10"/>
    </row>
    <row r="4">
      <c r="A4" s="11"/>
      <c r="B4" s="12"/>
      <c r="C4" s="12"/>
      <c r="D4" s="12"/>
      <c r="E4" s="12"/>
      <c r="F4" s="12"/>
      <c r="G4" s="12"/>
      <c r="H4" s="12"/>
      <c r="I4" s="12"/>
      <c r="J4" s="15"/>
    </row>
    <row r="5">
      <c r="A5" s="3"/>
      <c r="B5" s="3"/>
      <c r="C5" s="3"/>
      <c r="D5" s="3"/>
      <c r="E5" s="3"/>
      <c r="F5" s="3"/>
      <c r="G5" s="3"/>
      <c r="H5" s="3"/>
      <c r="I5" s="3"/>
      <c r="J5" s="3"/>
    </row>
    <row r="6">
      <c r="A6" s="2" t="s">
        <v>48</v>
      </c>
      <c r="B6" s="2" t="s">
        <v>50</v>
      </c>
      <c r="C6" s="2" t="s">
        <v>53</v>
      </c>
      <c r="D6" s="2" t="s">
        <v>57</v>
      </c>
      <c r="E6" s="2" t="s">
        <v>59</v>
      </c>
      <c r="F6" s="2" t="s">
        <v>61</v>
      </c>
      <c r="G6" s="2" t="s">
        <v>64</v>
      </c>
      <c r="H6" s="2" t="s">
        <v>66</v>
      </c>
      <c r="I6" s="2" t="s">
        <v>69</v>
      </c>
      <c r="J6" s="2" t="s">
        <v>73</v>
      </c>
    </row>
    <row r="7" ht="54.0" customHeight="1">
      <c r="A7" s="16">
        <v>1.0</v>
      </c>
      <c r="B7" s="9" t="s">
        <v>26</v>
      </c>
      <c r="C7" s="9" t="s">
        <v>79</v>
      </c>
      <c r="D7" s="9" t="s">
        <v>81</v>
      </c>
      <c r="E7" s="9" t="s">
        <v>83</v>
      </c>
      <c r="F7" s="9" t="s">
        <v>84</v>
      </c>
      <c r="G7" s="9" t="s">
        <v>85</v>
      </c>
      <c r="H7" s="9" t="s">
        <v>86</v>
      </c>
      <c r="I7" s="9" t="s">
        <v>87</v>
      </c>
      <c r="J7" s="22"/>
    </row>
    <row r="8" ht="54.0" customHeight="1">
      <c r="A8" s="19">
        <v>2.0</v>
      </c>
      <c r="B8" s="18" t="s">
        <v>26</v>
      </c>
      <c r="C8" s="18" t="s">
        <v>90</v>
      </c>
      <c r="D8" s="18" t="s">
        <v>91</v>
      </c>
      <c r="E8" s="18" t="s">
        <v>22</v>
      </c>
      <c r="F8" s="18" t="s">
        <v>92</v>
      </c>
      <c r="G8" s="18" t="s">
        <v>93</v>
      </c>
      <c r="H8" s="18" t="s">
        <v>96</v>
      </c>
      <c r="I8" s="18" t="s">
        <v>98</v>
      </c>
      <c r="J8" s="24"/>
    </row>
    <row r="9" ht="54.0" customHeight="1">
      <c r="A9" s="19">
        <v>3.0</v>
      </c>
      <c r="B9" s="18" t="s">
        <v>100</v>
      </c>
      <c r="C9" s="18" t="s">
        <v>102</v>
      </c>
      <c r="D9" s="18" t="s">
        <v>103</v>
      </c>
      <c r="E9" s="18" t="s">
        <v>105</v>
      </c>
      <c r="F9" s="18" t="s">
        <v>106</v>
      </c>
      <c r="G9" s="18" t="s">
        <v>108</v>
      </c>
      <c r="H9" s="18" t="s">
        <v>112</v>
      </c>
      <c r="I9" s="18" t="s">
        <v>113</v>
      </c>
      <c r="J9" s="24"/>
    </row>
    <row r="10" ht="54.0" customHeight="1">
      <c r="A10" s="19">
        <v>4.0</v>
      </c>
      <c r="B10" s="18" t="s">
        <v>100</v>
      </c>
      <c r="C10" s="18" t="s">
        <v>116</v>
      </c>
      <c r="D10" s="18" t="s">
        <v>117</v>
      </c>
      <c r="E10" s="18" t="s">
        <v>119</v>
      </c>
      <c r="F10" s="18" t="s">
        <v>121</v>
      </c>
      <c r="G10" s="18" t="s">
        <v>123</v>
      </c>
      <c r="H10" s="18" t="s">
        <v>124</v>
      </c>
      <c r="I10" s="18" t="s">
        <v>125</v>
      </c>
      <c r="J10" s="24"/>
    </row>
    <row r="11" ht="54.0" customHeight="1">
      <c r="A11" s="19">
        <v>5.0</v>
      </c>
      <c r="B11" s="18" t="s">
        <v>126</v>
      </c>
      <c r="C11" s="18" t="s">
        <v>130</v>
      </c>
      <c r="D11" s="18" t="s">
        <v>132</v>
      </c>
      <c r="E11" s="18" t="s">
        <v>134</v>
      </c>
      <c r="F11" s="18" t="s">
        <v>137</v>
      </c>
      <c r="G11" s="18" t="s">
        <v>140</v>
      </c>
      <c r="H11" s="18" t="s">
        <v>142</v>
      </c>
      <c r="I11" s="18" t="s">
        <v>144</v>
      </c>
      <c r="J11" s="24"/>
    </row>
    <row r="12" ht="54.0" customHeight="1">
      <c r="A12" s="19">
        <v>6.0</v>
      </c>
      <c r="B12" s="18" t="s">
        <v>100</v>
      </c>
      <c r="C12" s="18" t="s">
        <v>147</v>
      </c>
      <c r="D12" s="18" t="s">
        <v>149</v>
      </c>
      <c r="E12" s="18" t="s">
        <v>151</v>
      </c>
      <c r="F12" s="18" t="s">
        <v>153</v>
      </c>
      <c r="G12" s="18" t="s">
        <v>155</v>
      </c>
      <c r="H12" s="18" t="s">
        <v>158</v>
      </c>
      <c r="I12" s="18" t="s">
        <v>159</v>
      </c>
      <c r="J12" s="24"/>
    </row>
    <row r="13" ht="54.0" customHeight="1">
      <c r="A13" s="19">
        <v>7.0</v>
      </c>
      <c r="B13" s="18" t="s">
        <v>100</v>
      </c>
      <c r="C13" s="18" t="s">
        <v>164</v>
      </c>
      <c r="D13" s="18" t="s">
        <v>166</v>
      </c>
      <c r="E13" s="18" t="s">
        <v>170</v>
      </c>
      <c r="F13" s="18" t="s">
        <v>172</v>
      </c>
      <c r="G13" s="18" t="s">
        <v>174</v>
      </c>
      <c r="H13" s="18" t="s">
        <v>176</v>
      </c>
      <c r="I13" s="18" t="s">
        <v>178</v>
      </c>
      <c r="J13" s="24"/>
    </row>
    <row r="14" ht="54.0" customHeight="1">
      <c r="A14" s="19">
        <v>8.0</v>
      </c>
      <c r="B14" s="18" t="s">
        <v>26</v>
      </c>
      <c r="C14" s="18" t="s">
        <v>185</v>
      </c>
      <c r="D14" s="18" t="s">
        <v>187</v>
      </c>
      <c r="E14" s="18" t="s">
        <v>188</v>
      </c>
      <c r="F14" s="18" t="s">
        <v>190</v>
      </c>
      <c r="G14" s="18" t="s">
        <v>192</v>
      </c>
      <c r="H14" s="18" t="s">
        <v>194</v>
      </c>
      <c r="I14" s="18" t="s">
        <v>195</v>
      </c>
      <c r="J14" s="24"/>
    </row>
    <row r="15" ht="54.0" customHeight="1">
      <c r="A15" s="19">
        <v>9.0</v>
      </c>
      <c r="B15" s="18" t="s">
        <v>100</v>
      </c>
      <c r="C15" s="18" t="s">
        <v>206</v>
      </c>
      <c r="D15" s="18" t="s">
        <v>208</v>
      </c>
      <c r="E15" s="18" t="s">
        <v>212</v>
      </c>
      <c r="F15" s="18" t="s">
        <v>214</v>
      </c>
      <c r="G15" s="18" t="s">
        <v>215</v>
      </c>
      <c r="H15" s="18" t="s">
        <v>216</v>
      </c>
      <c r="I15" s="18" t="s">
        <v>219</v>
      </c>
      <c r="J15" s="24"/>
    </row>
    <row r="16" ht="54.0" customHeight="1">
      <c r="A16" s="19">
        <v>10.0</v>
      </c>
      <c r="B16" s="18" t="s">
        <v>100</v>
      </c>
      <c r="C16" s="18" t="s">
        <v>221</v>
      </c>
      <c r="D16" s="18" t="s">
        <v>223</v>
      </c>
      <c r="E16" s="18" t="s">
        <v>224</v>
      </c>
      <c r="F16" s="18" t="s">
        <v>226</v>
      </c>
      <c r="G16" s="18" t="s">
        <v>228</v>
      </c>
      <c r="H16" s="18" t="s">
        <v>229</v>
      </c>
      <c r="I16" s="18" t="s">
        <v>231</v>
      </c>
      <c r="J16" s="24"/>
    </row>
    <row r="17" ht="54.0" customHeight="1">
      <c r="A17" s="19">
        <v>11.0</v>
      </c>
      <c r="B17" s="18" t="s">
        <v>26</v>
      </c>
      <c r="C17" s="18" t="s">
        <v>234</v>
      </c>
      <c r="D17" s="18" t="s">
        <v>235</v>
      </c>
      <c r="E17" s="18" t="s">
        <v>239</v>
      </c>
      <c r="F17" s="18" t="s">
        <v>241</v>
      </c>
      <c r="G17" s="18" t="s">
        <v>243</v>
      </c>
      <c r="H17" s="18" t="s">
        <v>245</v>
      </c>
      <c r="I17" s="18" t="s">
        <v>248</v>
      </c>
      <c r="J17" s="24"/>
    </row>
    <row r="18" ht="54.0" customHeight="1">
      <c r="A18" s="19">
        <v>12.0</v>
      </c>
      <c r="B18" s="18" t="s">
        <v>100</v>
      </c>
      <c r="C18" s="18" t="s">
        <v>251</v>
      </c>
      <c r="D18" s="18" t="s">
        <v>253</v>
      </c>
      <c r="E18" s="18" t="s">
        <v>232</v>
      </c>
      <c r="F18" s="18" t="s">
        <v>258</v>
      </c>
      <c r="G18" s="18" t="s">
        <v>260</v>
      </c>
      <c r="H18" s="18" t="s">
        <v>263</v>
      </c>
      <c r="I18" s="18" t="s">
        <v>266</v>
      </c>
      <c r="J18" s="24"/>
    </row>
    <row r="19" ht="54.0" customHeight="1">
      <c r="A19" s="36">
        <v>13.0</v>
      </c>
      <c r="B19" s="37" t="s">
        <v>270</v>
      </c>
      <c r="C19" s="37" t="s">
        <v>275</v>
      </c>
      <c r="D19" s="37" t="s">
        <v>276</v>
      </c>
      <c r="E19" s="37" t="s">
        <v>278</v>
      </c>
      <c r="F19" s="37" t="s">
        <v>280</v>
      </c>
      <c r="G19" s="37" t="s">
        <v>283</v>
      </c>
      <c r="H19" s="40" t="s">
        <v>286</v>
      </c>
      <c r="I19" s="37" t="s">
        <v>289</v>
      </c>
      <c r="J19" s="42" t="s">
        <v>290</v>
      </c>
    </row>
    <row r="20" ht="54.0" customHeight="1">
      <c r="A20" s="36">
        <v>14.0</v>
      </c>
      <c r="B20" s="18" t="s">
        <v>204</v>
      </c>
      <c r="C20" s="18" t="s">
        <v>296</v>
      </c>
      <c r="D20" s="18" t="s">
        <v>297</v>
      </c>
      <c r="E20" s="18" t="s">
        <v>299</v>
      </c>
      <c r="F20" s="18" t="s">
        <v>300</v>
      </c>
      <c r="G20" s="18" t="s">
        <v>302</v>
      </c>
      <c r="H20" s="18" t="s">
        <v>306</v>
      </c>
      <c r="I20" s="18" t="s">
        <v>307</v>
      </c>
      <c r="J20" s="24"/>
    </row>
    <row r="21" ht="54.0" customHeight="1">
      <c r="A21" s="36">
        <v>15.0</v>
      </c>
      <c r="B21" s="18" t="s">
        <v>204</v>
      </c>
      <c r="C21" s="18" t="s">
        <v>313</v>
      </c>
      <c r="D21" s="18" t="s">
        <v>314</v>
      </c>
      <c r="E21" s="18" t="s">
        <v>255</v>
      </c>
      <c r="F21" s="18" t="s">
        <v>316</v>
      </c>
      <c r="G21" s="18" t="s">
        <v>318</v>
      </c>
      <c r="H21" s="18" t="s">
        <v>320</v>
      </c>
      <c r="I21" s="18" t="s">
        <v>322</v>
      </c>
      <c r="J21" s="24"/>
    </row>
    <row r="22" ht="54.0" customHeight="1">
      <c r="A22" s="36">
        <v>16.0</v>
      </c>
      <c r="B22" s="18" t="s">
        <v>326</v>
      </c>
      <c r="C22" s="18" t="s">
        <v>327</v>
      </c>
      <c r="D22" s="18" t="s">
        <v>328</v>
      </c>
      <c r="E22" s="18" t="s">
        <v>331</v>
      </c>
      <c r="F22" s="18" t="s">
        <v>333</v>
      </c>
      <c r="G22" s="18" t="s">
        <v>336</v>
      </c>
      <c r="H22" s="18" t="s">
        <v>337</v>
      </c>
      <c r="I22" s="18" t="s">
        <v>339</v>
      </c>
      <c r="J22" s="24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">
    <mergeCell ref="A1:J1"/>
    <mergeCell ref="A3:J4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14.0"/>
    <col customWidth="1" min="2" max="2" width="24.0"/>
    <col customWidth="1" min="3" max="3" width="32.0"/>
    <col customWidth="1" min="4" max="4" width="20.0"/>
    <col customWidth="1" min="5" max="5" width="22.0"/>
    <col customWidth="1" min="6" max="6" width="24.0"/>
    <col customWidth="1" min="7" max="7" width="34.0"/>
    <col customWidth="1" min="8" max="9" width="46.0"/>
    <col customWidth="1" min="10" max="10" width="38.0"/>
    <col customWidth="1" min="11" max="12" width="16.0"/>
    <col customWidth="1" min="13" max="26" width="8.63"/>
  </cols>
  <sheetData>
    <row r="1">
      <c r="A1" s="2" t="s">
        <v>452</v>
      </c>
      <c r="B1" s="2" t="s">
        <v>455</v>
      </c>
      <c r="C1" s="2" t="s">
        <v>457</v>
      </c>
      <c r="D1" s="2" t="s">
        <v>11</v>
      </c>
      <c r="E1" s="2" t="s">
        <v>10</v>
      </c>
      <c r="F1" s="2" t="s">
        <v>461</v>
      </c>
      <c r="G1" s="2" t="s">
        <v>464</v>
      </c>
      <c r="H1" s="2" t="s">
        <v>465</v>
      </c>
      <c r="I1" s="2" t="s">
        <v>466</v>
      </c>
      <c r="J1" s="2" t="s">
        <v>66</v>
      </c>
      <c r="K1" s="2" t="s">
        <v>73</v>
      </c>
      <c r="L1" s="2" t="s">
        <v>470</v>
      </c>
    </row>
    <row r="2" ht="48.0" customHeight="1">
      <c r="A2" s="9" t="s">
        <v>473</v>
      </c>
      <c r="B2" s="9" t="s">
        <v>474</v>
      </c>
      <c r="C2" s="9" t="s">
        <v>475</v>
      </c>
      <c r="D2" s="9" t="s">
        <v>145</v>
      </c>
      <c r="E2" s="9" t="s">
        <v>32</v>
      </c>
      <c r="F2" s="9" t="s">
        <v>478</v>
      </c>
      <c r="G2" s="9" t="s">
        <v>479</v>
      </c>
      <c r="H2" s="9" t="s">
        <v>481</v>
      </c>
      <c r="I2" s="9" t="s">
        <v>482</v>
      </c>
      <c r="J2" s="9" t="s">
        <v>483</v>
      </c>
      <c r="K2" s="22"/>
      <c r="L2" s="22" t="s">
        <v>486</v>
      </c>
    </row>
    <row r="3" ht="48.0" customHeight="1">
      <c r="A3" s="18" t="s">
        <v>487</v>
      </c>
      <c r="B3" s="18" t="s">
        <v>474</v>
      </c>
      <c r="C3" s="18" t="s">
        <v>489</v>
      </c>
      <c r="D3" s="18" t="s">
        <v>145</v>
      </c>
      <c r="E3" s="18" t="s">
        <v>32</v>
      </c>
      <c r="F3" s="18" t="s">
        <v>478</v>
      </c>
      <c r="G3" s="18" t="s">
        <v>493</v>
      </c>
      <c r="H3" s="18" t="s">
        <v>494</v>
      </c>
      <c r="I3" s="18" t="s">
        <v>495</v>
      </c>
      <c r="J3" s="18" t="s">
        <v>483</v>
      </c>
      <c r="K3" s="24"/>
      <c r="L3" s="24" t="s">
        <v>486</v>
      </c>
    </row>
    <row r="4" ht="48.0" customHeight="1">
      <c r="A4" s="18" t="s">
        <v>498</v>
      </c>
      <c r="B4" s="18" t="s">
        <v>474</v>
      </c>
      <c r="C4" s="18" t="s">
        <v>500</v>
      </c>
      <c r="D4" s="18" t="s">
        <v>145</v>
      </c>
      <c r="E4" s="18" t="s">
        <v>184</v>
      </c>
      <c r="F4" s="18" t="s">
        <v>478</v>
      </c>
      <c r="G4" s="18" t="s">
        <v>502</v>
      </c>
      <c r="H4" s="18" t="s">
        <v>505</v>
      </c>
      <c r="I4" s="18" t="s">
        <v>506</v>
      </c>
      <c r="J4" s="18" t="s">
        <v>483</v>
      </c>
      <c r="K4" s="24"/>
      <c r="L4" s="24" t="s">
        <v>486</v>
      </c>
    </row>
    <row r="5" ht="48.0" customHeight="1">
      <c r="A5" s="18" t="s">
        <v>508</v>
      </c>
      <c r="B5" s="18" t="s">
        <v>474</v>
      </c>
      <c r="C5" s="18" t="s">
        <v>510</v>
      </c>
      <c r="D5" s="18" t="s">
        <v>145</v>
      </c>
      <c r="E5" s="18" t="s">
        <v>184</v>
      </c>
      <c r="F5" s="18" t="s">
        <v>374</v>
      </c>
      <c r="G5" s="18" t="s">
        <v>513</v>
      </c>
      <c r="H5" s="18" t="s">
        <v>515</v>
      </c>
      <c r="I5" s="18" t="s">
        <v>516</v>
      </c>
      <c r="J5" s="18" t="s">
        <v>483</v>
      </c>
      <c r="K5" s="24"/>
      <c r="L5" s="24" t="s">
        <v>486</v>
      </c>
    </row>
    <row r="6" ht="48.0" customHeight="1">
      <c r="A6" s="18" t="s">
        <v>519</v>
      </c>
      <c r="B6" s="18" t="s">
        <v>520</v>
      </c>
      <c r="C6" s="18" t="s">
        <v>521</v>
      </c>
      <c r="D6" s="18" t="s">
        <v>34</v>
      </c>
      <c r="E6" s="18" t="s">
        <v>32</v>
      </c>
      <c r="F6" s="18" t="s">
        <v>28</v>
      </c>
      <c r="G6" s="18" t="s">
        <v>46</v>
      </c>
      <c r="H6" s="18" t="s">
        <v>525</v>
      </c>
      <c r="I6" s="18" t="s">
        <v>527</v>
      </c>
      <c r="J6" s="18" t="s">
        <v>528</v>
      </c>
      <c r="K6" s="24"/>
      <c r="L6" s="24" t="s">
        <v>486</v>
      </c>
    </row>
    <row r="7" ht="48.0" customHeight="1">
      <c r="A7" s="18" t="s">
        <v>529</v>
      </c>
      <c r="B7" s="18" t="s">
        <v>520</v>
      </c>
      <c r="C7" s="18" t="s">
        <v>532</v>
      </c>
      <c r="D7" s="18" t="s">
        <v>211</v>
      </c>
      <c r="E7" s="18" t="s">
        <v>184</v>
      </c>
      <c r="F7" s="18" t="s">
        <v>28</v>
      </c>
      <c r="G7" s="18" t="s">
        <v>46</v>
      </c>
      <c r="H7" s="18" t="s">
        <v>534</v>
      </c>
      <c r="I7" s="18" t="s">
        <v>535</v>
      </c>
      <c r="J7" s="18" t="s">
        <v>528</v>
      </c>
      <c r="K7" s="24"/>
      <c r="L7" s="24" t="s">
        <v>486</v>
      </c>
    </row>
    <row r="8" ht="48.0" customHeight="1">
      <c r="A8" s="18" t="s">
        <v>538</v>
      </c>
      <c r="B8" s="18" t="s">
        <v>520</v>
      </c>
      <c r="C8" s="18" t="s">
        <v>540</v>
      </c>
      <c r="D8" s="18" t="s">
        <v>34</v>
      </c>
      <c r="E8" s="18" t="s">
        <v>32</v>
      </c>
      <c r="F8" s="18" t="s">
        <v>28</v>
      </c>
      <c r="G8" s="18" t="s">
        <v>541</v>
      </c>
      <c r="H8" s="18" t="s">
        <v>542</v>
      </c>
      <c r="I8" s="18" t="s">
        <v>544</v>
      </c>
      <c r="J8" s="18" t="s">
        <v>528</v>
      </c>
      <c r="K8" s="24"/>
      <c r="L8" s="24" t="s">
        <v>486</v>
      </c>
    </row>
    <row r="9" ht="48.0" customHeight="1">
      <c r="A9" s="18" t="s">
        <v>546</v>
      </c>
      <c r="B9" s="18" t="s">
        <v>520</v>
      </c>
      <c r="C9" s="18" t="s">
        <v>550</v>
      </c>
      <c r="D9" s="18" t="s">
        <v>211</v>
      </c>
      <c r="E9" s="18" t="s">
        <v>553</v>
      </c>
      <c r="F9" s="18" t="s">
        <v>28</v>
      </c>
      <c r="G9" s="18" t="s">
        <v>555</v>
      </c>
      <c r="H9" s="18" t="s">
        <v>556</v>
      </c>
      <c r="I9" s="18" t="s">
        <v>559</v>
      </c>
      <c r="J9" s="18" t="s">
        <v>528</v>
      </c>
      <c r="K9" s="24"/>
      <c r="L9" s="24" t="s">
        <v>486</v>
      </c>
    </row>
    <row r="10" ht="48.0" customHeight="1">
      <c r="A10" s="18" t="s">
        <v>562</v>
      </c>
      <c r="B10" s="18" t="s">
        <v>564</v>
      </c>
      <c r="C10" s="18" t="s">
        <v>565</v>
      </c>
      <c r="D10" s="18" t="s">
        <v>34</v>
      </c>
      <c r="E10" s="18" t="s">
        <v>32</v>
      </c>
      <c r="F10" s="18" t="s">
        <v>118</v>
      </c>
      <c r="G10" s="18" t="s">
        <v>566</v>
      </c>
      <c r="H10" s="18" t="s">
        <v>567</v>
      </c>
      <c r="I10" s="18" t="s">
        <v>573</v>
      </c>
      <c r="J10" s="18" t="s">
        <v>575</v>
      </c>
      <c r="K10" s="24"/>
      <c r="L10" s="24" t="s">
        <v>486</v>
      </c>
    </row>
    <row r="11" ht="48.0" customHeight="1">
      <c r="A11" s="18" t="s">
        <v>577</v>
      </c>
      <c r="B11" s="18" t="s">
        <v>564</v>
      </c>
      <c r="C11" s="18" t="s">
        <v>580</v>
      </c>
      <c r="D11" s="18" t="s">
        <v>34</v>
      </c>
      <c r="E11" s="18" t="s">
        <v>32</v>
      </c>
      <c r="F11" s="18" t="s">
        <v>118</v>
      </c>
      <c r="G11" s="18" t="s">
        <v>585</v>
      </c>
      <c r="H11" s="18" t="s">
        <v>587</v>
      </c>
      <c r="I11" s="18" t="s">
        <v>589</v>
      </c>
      <c r="J11" s="18" t="s">
        <v>575</v>
      </c>
      <c r="K11" s="24"/>
      <c r="L11" s="24" t="s">
        <v>486</v>
      </c>
    </row>
    <row r="12" ht="48.0" customHeight="1">
      <c r="A12" s="18" t="s">
        <v>592</v>
      </c>
      <c r="B12" s="18" t="s">
        <v>564</v>
      </c>
      <c r="C12" s="18" t="s">
        <v>595</v>
      </c>
      <c r="D12" s="18" t="s">
        <v>34</v>
      </c>
      <c r="E12" s="18" t="s">
        <v>32</v>
      </c>
      <c r="F12" s="18" t="s">
        <v>118</v>
      </c>
      <c r="G12" s="18" t="s">
        <v>598</v>
      </c>
      <c r="H12" s="18" t="s">
        <v>600</v>
      </c>
      <c r="I12" s="18" t="s">
        <v>601</v>
      </c>
      <c r="J12" s="18" t="s">
        <v>575</v>
      </c>
      <c r="K12" s="24"/>
      <c r="L12" s="24" t="s">
        <v>486</v>
      </c>
    </row>
    <row r="13" ht="48.0" customHeight="1">
      <c r="A13" s="18" t="s">
        <v>605</v>
      </c>
      <c r="B13" s="18" t="s">
        <v>564</v>
      </c>
      <c r="C13" s="18" t="s">
        <v>608</v>
      </c>
      <c r="D13" s="18" t="s">
        <v>34</v>
      </c>
      <c r="E13" s="18" t="s">
        <v>32</v>
      </c>
      <c r="F13" s="18" t="s">
        <v>611</v>
      </c>
      <c r="G13" s="18" t="s">
        <v>613</v>
      </c>
      <c r="H13" s="18" t="s">
        <v>614</v>
      </c>
      <c r="I13" s="18" t="s">
        <v>617</v>
      </c>
      <c r="J13" s="18" t="s">
        <v>575</v>
      </c>
      <c r="K13" s="24"/>
      <c r="L13" s="24" t="s">
        <v>486</v>
      </c>
    </row>
    <row r="14" ht="48.0" customHeight="1">
      <c r="A14" s="18" t="s">
        <v>620</v>
      </c>
      <c r="B14" s="18" t="s">
        <v>564</v>
      </c>
      <c r="C14" s="18" t="s">
        <v>622</v>
      </c>
      <c r="D14" s="18" t="s">
        <v>145</v>
      </c>
      <c r="E14" s="18" t="s">
        <v>32</v>
      </c>
      <c r="F14" s="18" t="s">
        <v>374</v>
      </c>
      <c r="G14" s="18" t="s">
        <v>626</v>
      </c>
      <c r="H14" s="18" t="s">
        <v>627</v>
      </c>
      <c r="I14" s="18" t="s">
        <v>628</v>
      </c>
      <c r="J14" s="18" t="s">
        <v>575</v>
      </c>
      <c r="K14" s="24"/>
      <c r="L14" s="24" t="s">
        <v>486</v>
      </c>
    </row>
    <row r="15" ht="48.0" customHeight="1">
      <c r="A15" s="18" t="s">
        <v>633</v>
      </c>
      <c r="B15" s="18" t="s">
        <v>634</v>
      </c>
      <c r="C15" s="18" t="s">
        <v>636</v>
      </c>
      <c r="D15" s="18" t="s">
        <v>34</v>
      </c>
      <c r="E15" s="18" t="s">
        <v>32</v>
      </c>
      <c r="F15" s="18" t="s">
        <v>118</v>
      </c>
      <c r="G15" s="18" t="s">
        <v>566</v>
      </c>
      <c r="H15" s="18" t="s">
        <v>637</v>
      </c>
      <c r="I15" s="18" t="s">
        <v>640</v>
      </c>
      <c r="J15" s="18" t="s">
        <v>575</v>
      </c>
      <c r="K15" s="24"/>
      <c r="L15" s="24" t="s">
        <v>486</v>
      </c>
    </row>
    <row r="16" ht="48.0" customHeight="1">
      <c r="A16" s="18" t="s">
        <v>642</v>
      </c>
      <c r="B16" s="18" t="s">
        <v>634</v>
      </c>
      <c r="C16" s="18" t="s">
        <v>645</v>
      </c>
      <c r="D16" s="18" t="s">
        <v>34</v>
      </c>
      <c r="E16" s="18" t="s">
        <v>32</v>
      </c>
      <c r="F16" s="18" t="s">
        <v>118</v>
      </c>
      <c r="G16" s="18" t="s">
        <v>598</v>
      </c>
      <c r="H16" s="18" t="s">
        <v>649</v>
      </c>
      <c r="I16" s="18" t="s">
        <v>650</v>
      </c>
      <c r="J16" s="18" t="s">
        <v>575</v>
      </c>
      <c r="K16" s="24"/>
      <c r="L16" s="24" t="s">
        <v>486</v>
      </c>
    </row>
    <row r="17" ht="48.0" customHeight="1">
      <c r="A17" s="18" t="s">
        <v>654</v>
      </c>
      <c r="B17" s="18" t="s">
        <v>474</v>
      </c>
      <c r="C17" s="18" t="s">
        <v>657</v>
      </c>
      <c r="D17" s="18" t="s">
        <v>34</v>
      </c>
      <c r="E17" s="18" t="s">
        <v>184</v>
      </c>
      <c r="F17" s="18" t="s">
        <v>261</v>
      </c>
      <c r="G17" s="18" t="s">
        <v>662</v>
      </c>
      <c r="H17" s="18" t="s">
        <v>663</v>
      </c>
      <c r="I17" s="18" t="s">
        <v>665</v>
      </c>
      <c r="J17" s="18" t="s">
        <v>483</v>
      </c>
      <c r="K17" s="24"/>
      <c r="L17" s="24" t="s">
        <v>486</v>
      </c>
    </row>
    <row r="18" ht="48.0" customHeight="1">
      <c r="A18" s="18" t="s">
        <v>670</v>
      </c>
      <c r="B18" s="18" t="s">
        <v>474</v>
      </c>
      <c r="C18" s="18" t="s">
        <v>672</v>
      </c>
      <c r="D18" s="18" t="s">
        <v>34</v>
      </c>
      <c r="E18" s="18" t="s">
        <v>184</v>
      </c>
      <c r="F18" s="18" t="s">
        <v>180</v>
      </c>
      <c r="G18" s="18" t="s">
        <v>677</v>
      </c>
      <c r="H18" s="18" t="s">
        <v>678</v>
      </c>
      <c r="I18" s="18" t="s">
        <v>681</v>
      </c>
      <c r="J18" s="18" t="s">
        <v>483</v>
      </c>
      <c r="K18" s="24"/>
      <c r="L18" s="24" t="s">
        <v>486</v>
      </c>
    </row>
    <row r="19" ht="48.0" customHeight="1">
      <c r="A19" s="18" t="s">
        <v>212</v>
      </c>
      <c r="B19" s="18" t="s">
        <v>474</v>
      </c>
      <c r="C19" s="18" t="s">
        <v>686</v>
      </c>
      <c r="D19" s="18" t="s">
        <v>34</v>
      </c>
      <c r="E19" s="18" t="s">
        <v>32</v>
      </c>
      <c r="F19" s="18" t="s">
        <v>261</v>
      </c>
      <c r="G19" s="18" t="s">
        <v>687</v>
      </c>
      <c r="H19" s="18" t="s">
        <v>689</v>
      </c>
      <c r="I19" s="18" t="s">
        <v>690</v>
      </c>
      <c r="J19" s="18" t="s">
        <v>483</v>
      </c>
      <c r="K19" s="24"/>
      <c r="L19" s="24" t="s">
        <v>486</v>
      </c>
    </row>
    <row r="20" ht="48.0" customHeight="1">
      <c r="A20" s="18" t="s">
        <v>695</v>
      </c>
      <c r="B20" s="18" t="s">
        <v>696</v>
      </c>
      <c r="C20" s="18" t="s">
        <v>697</v>
      </c>
      <c r="D20" s="18" t="s">
        <v>34</v>
      </c>
      <c r="E20" s="18" t="s">
        <v>32</v>
      </c>
      <c r="F20" s="18" t="s">
        <v>28</v>
      </c>
      <c r="G20" s="18" t="s">
        <v>700</v>
      </c>
      <c r="H20" s="18" t="s">
        <v>702</v>
      </c>
      <c r="I20" s="18" t="s">
        <v>704</v>
      </c>
      <c r="J20" s="18" t="s">
        <v>706</v>
      </c>
      <c r="K20" s="24"/>
      <c r="L20" s="24" t="s">
        <v>486</v>
      </c>
    </row>
    <row r="21" ht="48.0" customHeight="1">
      <c r="A21" s="18" t="s">
        <v>708</v>
      </c>
      <c r="B21" s="18" t="s">
        <v>710</v>
      </c>
      <c r="C21" s="18" t="s">
        <v>712</v>
      </c>
      <c r="D21" s="18" t="s">
        <v>145</v>
      </c>
      <c r="E21" s="18" t="s">
        <v>184</v>
      </c>
      <c r="F21" s="18" t="s">
        <v>259</v>
      </c>
      <c r="G21" s="18" t="s">
        <v>717</v>
      </c>
      <c r="H21" s="18" t="s">
        <v>719</v>
      </c>
      <c r="I21" s="18" t="s">
        <v>721</v>
      </c>
      <c r="J21" s="18" t="s">
        <v>722</v>
      </c>
      <c r="K21" s="24"/>
      <c r="L21" s="24" t="s">
        <v>486</v>
      </c>
    </row>
    <row r="22" ht="48.0" customHeight="1">
      <c r="A22" s="18" t="s">
        <v>726</v>
      </c>
      <c r="B22" s="18" t="s">
        <v>727</v>
      </c>
      <c r="C22" s="18" t="s">
        <v>728</v>
      </c>
      <c r="D22" s="18" t="s">
        <v>34</v>
      </c>
      <c r="E22" s="18" t="s">
        <v>32</v>
      </c>
      <c r="F22" s="18" t="s">
        <v>611</v>
      </c>
      <c r="G22" s="18" t="s">
        <v>728</v>
      </c>
      <c r="H22" s="18" t="s">
        <v>733</v>
      </c>
      <c r="I22" s="18" t="s">
        <v>735</v>
      </c>
      <c r="J22" s="18" t="s">
        <v>737</v>
      </c>
      <c r="K22" s="24"/>
      <c r="L22" s="24" t="s">
        <v>486</v>
      </c>
    </row>
    <row r="23" ht="48.0" customHeight="1">
      <c r="A23" s="18" t="s">
        <v>739</v>
      </c>
      <c r="B23" s="18" t="s">
        <v>727</v>
      </c>
      <c r="C23" s="18" t="s">
        <v>742</v>
      </c>
      <c r="D23" s="18" t="s">
        <v>34</v>
      </c>
      <c r="E23" s="18" t="s">
        <v>32</v>
      </c>
      <c r="F23" s="18" t="s">
        <v>611</v>
      </c>
      <c r="G23" s="18" t="s">
        <v>745</v>
      </c>
      <c r="H23" s="18" t="s">
        <v>746</v>
      </c>
      <c r="I23" s="18" t="s">
        <v>747</v>
      </c>
      <c r="J23" s="18" t="s">
        <v>737</v>
      </c>
      <c r="K23" s="24"/>
      <c r="L23" s="24" t="s">
        <v>486</v>
      </c>
    </row>
    <row r="24" ht="48.0" customHeight="1">
      <c r="A24" s="18" t="s">
        <v>753</v>
      </c>
      <c r="B24" s="18" t="s">
        <v>727</v>
      </c>
      <c r="C24" s="18" t="s">
        <v>754</v>
      </c>
      <c r="D24" s="18" t="s">
        <v>34</v>
      </c>
      <c r="E24" s="18" t="s">
        <v>32</v>
      </c>
      <c r="F24" s="18" t="s">
        <v>163</v>
      </c>
      <c r="G24" s="18" t="s">
        <v>757</v>
      </c>
      <c r="H24" s="18" t="s">
        <v>758</v>
      </c>
      <c r="I24" s="18" t="s">
        <v>760</v>
      </c>
      <c r="J24" s="18" t="s">
        <v>737</v>
      </c>
      <c r="K24" s="24"/>
      <c r="L24" s="24" t="s">
        <v>486</v>
      </c>
    </row>
    <row r="25" ht="48.0" customHeight="1">
      <c r="A25" s="18" t="s">
        <v>765</v>
      </c>
      <c r="B25" s="18" t="s">
        <v>727</v>
      </c>
      <c r="C25" s="18" t="s">
        <v>766</v>
      </c>
      <c r="D25" s="18" t="s">
        <v>34</v>
      </c>
      <c r="E25" s="18" t="s">
        <v>32</v>
      </c>
      <c r="F25" s="18" t="s">
        <v>118</v>
      </c>
      <c r="G25" s="18" t="s">
        <v>772</v>
      </c>
      <c r="H25" s="18" t="s">
        <v>773</v>
      </c>
      <c r="I25" s="18" t="s">
        <v>774</v>
      </c>
      <c r="J25" s="18" t="s">
        <v>737</v>
      </c>
      <c r="K25" s="24"/>
      <c r="L25" s="24" t="s">
        <v>486</v>
      </c>
    </row>
    <row r="26" ht="48.0" customHeight="1">
      <c r="A26" s="18" t="s">
        <v>775</v>
      </c>
      <c r="B26" s="18" t="s">
        <v>727</v>
      </c>
      <c r="C26" s="18" t="s">
        <v>776</v>
      </c>
      <c r="D26" s="18" t="s">
        <v>34</v>
      </c>
      <c r="E26" s="18" t="s">
        <v>32</v>
      </c>
      <c r="F26" s="18" t="s">
        <v>374</v>
      </c>
      <c r="G26" s="18" t="s">
        <v>778</v>
      </c>
      <c r="H26" s="18" t="s">
        <v>779</v>
      </c>
      <c r="I26" s="18" t="s">
        <v>781</v>
      </c>
      <c r="J26" s="18" t="s">
        <v>737</v>
      </c>
      <c r="K26" s="24"/>
      <c r="L26" s="24" t="s">
        <v>486</v>
      </c>
    </row>
    <row r="27" ht="48.0" customHeight="1">
      <c r="A27" s="18" t="s">
        <v>782</v>
      </c>
      <c r="B27" s="18" t="s">
        <v>727</v>
      </c>
      <c r="C27" s="18" t="s">
        <v>784</v>
      </c>
      <c r="D27" s="18" t="s">
        <v>34</v>
      </c>
      <c r="E27" s="18" t="s">
        <v>32</v>
      </c>
      <c r="F27" s="18" t="s">
        <v>611</v>
      </c>
      <c r="G27" s="18" t="s">
        <v>791</v>
      </c>
      <c r="H27" s="18" t="s">
        <v>792</v>
      </c>
      <c r="I27" s="18" t="s">
        <v>794</v>
      </c>
      <c r="J27" s="18" t="s">
        <v>737</v>
      </c>
      <c r="K27" s="24"/>
      <c r="L27" s="24" t="s">
        <v>486</v>
      </c>
    </row>
    <row r="28" ht="48.0" customHeight="1">
      <c r="A28" s="18" t="s">
        <v>602</v>
      </c>
      <c r="B28" s="18" t="s">
        <v>798</v>
      </c>
      <c r="C28" s="18" t="s">
        <v>800</v>
      </c>
      <c r="D28" s="18" t="s">
        <v>34</v>
      </c>
      <c r="E28" s="18" t="s">
        <v>32</v>
      </c>
      <c r="F28" s="18" t="s">
        <v>611</v>
      </c>
      <c r="G28" s="18" t="s">
        <v>800</v>
      </c>
      <c r="H28" s="18" t="s">
        <v>803</v>
      </c>
      <c r="I28" s="18" t="s">
        <v>805</v>
      </c>
      <c r="J28" s="18" t="s">
        <v>807</v>
      </c>
      <c r="K28" s="24"/>
      <c r="L28" s="24" t="s">
        <v>486</v>
      </c>
    </row>
    <row r="29" ht="48.0" customHeight="1">
      <c r="A29" s="18" t="s">
        <v>810</v>
      </c>
      <c r="B29" s="18" t="s">
        <v>798</v>
      </c>
      <c r="C29" s="18" t="s">
        <v>811</v>
      </c>
      <c r="D29" s="18" t="s">
        <v>34</v>
      </c>
      <c r="E29" s="18" t="s">
        <v>32</v>
      </c>
      <c r="F29" s="18" t="s">
        <v>118</v>
      </c>
      <c r="G29" s="18" t="s">
        <v>814</v>
      </c>
      <c r="H29" s="18" t="s">
        <v>815</v>
      </c>
      <c r="I29" s="18" t="s">
        <v>817</v>
      </c>
      <c r="J29" s="18" t="s">
        <v>807</v>
      </c>
      <c r="K29" s="24"/>
      <c r="L29" s="24" t="s">
        <v>486</v>
      </c>
    </row>
    <row r="30" ht="48.0" customHeight="1">
      <c r="A30" s="18" t="s">
        <v>676</v>
      </c>
      <c r="B30" s="18" t="s">
        <v>798</v>
      </c>
      <c r="C30" s="18" t="s">
        <v>821</v>
      </c>
      <c r="D30" s="18" t="s">
        <v>823</v>
      </c>
      <c r="E30" s="18" t="s">
        <v>32</v>
      </c>
      <c r="F30" s="18" t="s">
        <v>825</v>
      </c>
      <c r="G30" s="18" t="s">
        <v>826</v>
      </c>
      <c r="H30" s="18" t="s">
        <v>827</v>
      </c>
      <c r="I30" s="18" t="s">
        <v>828</v>
      </c>
      <c r="J30" s="18" t="s">
        <v>807</v>
      </c>
      <c r="K30" s="24"/>
      <c r="L30" s="24" t="s">
        <v>486</v>
      </c>
    </row>
    <row r="31" ht="48.0" customHeight="1">
      <c r="A31" s="18" t="s">
        <v>831</v>
      </c>
      <c r="B31" s="18" t="s">
        <v>798</v>
      </c>
      <c r="C31" s="18" t="s">
        <v>833</v>
      </c>
      <c r="D31" s="18" t="s">
        <v>34</v>
      </c>
      <c r="E31" s="18" t="s">
        <v>32</v>
      </c>
      <c r="F31" s="18" t="s">
        <v>611</v>
      </c>
      <c r="G31" s="18" t="s">
        <v>834</v>
      </c>
      <c r="H31" s="18" t="s">
        <v>835</v>
      </c>
      <c r="I31" s="18" t="s">
        <v>836</v>
      </c>
      <c r="J31" s="18" t="s">
        <v>807</v>
      </c>
      <c r="K31" s="24"/>
      <c r="L31" s="24" t="s">
        <v>486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L$31"/>
  <conditionalFormatting sqref="E2:E31">
    <cfRule type="containsText" dxfId="0" priority="1" operator="containsText" text="MUST SHIP">
      <formula>NOT(ISERROR(SEARCH(("MUST SHIP"),(E2))))</formula>
    </cfRule>
  </conditionalFormatting>
  <conditionalFormatting sqref="E2:E31">
    <cfRule type="containsText" dxfId="1" priority="2" operator="containsText" text="COMMITTED">
      <formula>NOT(ISERROR(SEARCH(("COMMITTED"),(E2))))</formula>
    </cfRule>
  </conditionalFormatting>
  <conditionalFormatting sqref="E2:E31">
    <cfRule type="containsText" dxfId="2" priority="3" operator="containsText" text="BONUS">
      <formula>NOT(ISERROR(SEARCH(("BONUS"),(E2))))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14.0"/>
    <col customWidth="1" min="2" max="2" width="18.0"/>
    <col customWidth="1" min="3" max="3" width="46.0"/>
    <col customWidth="1" min="4" max="4" width="14.0"/>
    <col customWidth="1" min="5" max="5" width="30.0"/>
    <col customWidth="1" min="6" max="6" width="32.0"/>
    <col customWidth="1" min="7" max="7" width="42.0"/>
    <col customWidth="1" min="8" max="8" width="20.0"/>
    <col customWidth="1" min="9" max="9" width="16.0"/>
    <col customWidth="1" min="10" max="26" width="8.63"/>
  </cols>
  <sheetData>
    <row r="1">
      <c r="A1" s="2" t="s">
        <v>551</v>
      </c>
      <c r="B1" s="2" t="s">
        <v>557</v>
      </c>
      <c r="C1" s="2" t="s">
        <v>561</v>
      </c>
      <c r="D1" s="2" t="s">
        <v>563</v>
      </c>
      <c r="E1" s="2" t="s">
        <v>58</v>
      </c>
      <c r="F1" s="2" t="s">
        <v>62</v>
      </c>
      <c r="G1" s="2" t="s">
        <v>569</v>
      </c>
      <c r="H1" s="2" t="s">
        <v>572</v>
      </c>
      <c r="I1" s="2" t="s">
        <v>73</v>
      </c>
    </row>
    <row r="2" ht="42.0" customHeight="1">
      <c r="A2" s="9" t="s">
        <v>578</v>
      </c>
      <c r="B2" s="9" t="s">
        <v>579</v>
      </c>
      <c r="C2" s="9" t="s">
        <v>582</v>
      </c>
      <c r="D2" s="9"/>
      <c r="E2" s="9" t="s">
        <v>584</v>
      </c>
      <c r="F2" s="9" t="s">
        <v>586</v>
      </c>
      <c r="G2" s="9" t="s">
        <v>588</v>
      </c>
      <c r="H2" s="22" t="s">
        <v>486</v>
      </c>
      <c r="I2" s="22"/>
    </row>
    <row r="3" ht="42.0" customHeight="1">
      <c r="A3" s="18" t="s">
        <v>594</v>
      </c>
      <c r="B3" s="18" t="s">
        <v>579</v>
      </c>
      <c r="C3" s="18" t="s">
        <v>596</v>
      </c>
      <c r="D3" s="18"/>
      <c r="E3" s="18" t="s">
        <v>22</v>
      </c>
      <c r="F3" s="18" t="s">
        <v>602</v>
      </c>
      <c r="G3" s="18" t="s">
        <v>603</v>
      </c>
      <c r="H3" s="24" t="s">
        <v>486</v>
      </c>
      <c r="I3" s="24"/>
    </row>
    <row r="4" ht="42.0" customHeight="1">
      <c r="A4" s="18" t="s">
        <v>610</v>
      </c>
      <c r="B4" s="18" t="s">
        <v>579</v>
      </c>
      <c r="C4" s="18" t="s">
        <v>616</v>
      </c>
      <c r="D4" s="18"/>
      <c r="E4" s="18" t="s">
        <v>619</v>
      </c>
      <c r="F4" s="18" t="s">
        <v>621</v>
      </c>
      <c r="G4" s="18" t="s">
        <v>623</v>
      </c>
      <c r="H4" s="24" t="s">
        <v>486</v>
      </c>
      <c r="I4" s="24"/>
    </row>
    <row r="5" ht="42.0" customHeight="1">
      <c r="A5" s="18" t="s">
        <v>629</v>
      </c>
      <c r="B5" s="18" t="s">
        <v>579</v>
      </c>
      <c r="C5" s="18" t="s">
        <v>635</v>
      </c>
      <c r="D5" s="18"/>
      <c r="E5" s="18" t="s">
        <v>115</v>
      </c>
      <c r="F5" s="18" t="s">
        <v>119</v>
      </c>
      <c r="G5" s="18" t="s">
        <v>639</v>
      </c>
      <c r="H5" s="24" t="s">
        <v>486</v>
      </c>
      <c r="I5" s="24"/>
    </row>
    <row r="6" ht="42.0" customHeight="1">
      <c r="A6" s="18" t="s">
        <v>653</v>
      </c>
      <c r="B6" s="18" t="s">
        <v>655</v>
      </c>
      <c r="C6" s="18" t="s">
        <v>658</v>
      </c>
      <c r="D6" s="18"/>
      <c r="E6" s="18" t="s">
        <v>198</v>
      </c>
      <c r="F6" s="18" t="s">
        <v>592</v>
      </c>
      <c r="G6" s="18" t="s">
        <v>666</v>
      </c>
      <c r="H6" s="24" t="s">
        <v>486</v>
      </c>
      <c r="I6" s="24"/>
    </row>
    <row r="7" ht="42.0" customHeight="1">
      <c r="A7" s="18" t="s">
        <v>669</v>
      </c>
      <c r="B7" s="18" t="s">
        <v>655</v>
      </c>
      <c r="C7" s="18" t="s">
        <v>671</v>
      </c>
      <c r="D7" s="18"/>
      <c r="E7" s="18" t="s">
        <v>232</v>
      </c>
      <c r="F7" s="18" t="s">
        <v>676</v>
      </c>
      <c r="G7" s="18" t="s">
        <v>679</v>
      </c>
      <c r="H7" s="24" t="s">
        <v>486</v>
      </c>
      <c r="I7" s="24"/>
    </row>
    <row r="8" ht="42.0" customHeight="1">
      <c r="A8" s="18" t="s">
        <v>682</v>
      </c>
      <c r="B8" s="18" t="s">
        <v>655</v>
      </c>
      <c r="C8" s="18" t="s">
        <v>684</v>
      </c>
      <c r="D8" s="18"/>
      <c r="E8" s="18" t="s">
        <v>688</v>
      </c>
      <c r="F8" s="18" t="s">
        <v>602</v>
      </c>
      <c r="G8" s="18" t="s">
        <v>692</v>
      </c>
      <c r="H8" s="24" t="s">
        <v>486</v>
      </c>
      <c r="I8" s="24"/>
    </row>
    <row r="9" ht="42.0" customHeight="1">
      <c r="A9" s="18" t="s">
        <v>698</v>
      </c>
      <c r="B9" s="18" t="s">
        <v>655</v>
      </c>
      <c r="C9" s="18" t="s">
        <v>701</v>
      </c>
      <c r="D9" s="18"/>
      <c r="E9" s="18" t="s">
        <v>232</v>
      </c>
      <c r="F9" s="18" t="s">
        <v>707</v>
      </c>
      <c r="G9" s="18" t="s">
        <v>709</v>
      </c>
      <c r="H9" s="24" t="s">
        <v>486</v>
      </c>
      <c r="I9" s="24"/>
    </row>
    <row r="10" ht="42.0" customHeight="1">
      <c r="A10" s="18" t="s">
        <v>715</v>
      </c>
      <c r="B10" s="18" t="s">
        <v>718</v>
      </c>
      <c r="C10" s="18" t="s">
        <v>720</v>
      </c>
      <c r="D10" s="18"/>
      <c r="E10" s="37" t="s">
        <v>725</v>
      </c>
      <c r="F10" s="37" t="s">
        <v>726</v>
      </c>
      <c r="G10" s="37" t="s">
        <v>729</v>
      </c>
      <c r="H10" s="24" t="s">
        <v>486</v>
      </c>
      <c r="I10" s="24"/>
    </row>
    <row r="11" ht="42.0" customHeight="1">
      <c r="A11" s="18" t="s">
        <v>734</v>
      </c>
      <c r="B11" s="18" t="s">
        <v>718</v>
      </c>
      <c r="C11" s="18" t="s">
        <v>738</v>
      </c>
      <c r="D11" s="18"/>
      <c r="E11" s="18" t="s">
        <v>740</v>
      </c>
      <c r="F11" s="18" t="s">
        <v>676</v>
      </c>
      <c r="G11" s="18" t="s">
        <v>744</v>
      </c>
      <c r="H11" s="24" t="s">
        <v>486</v>
      </c>
      <c r="I11" s="24"/>
    </row>
    <row r="12" ht="42.0" customHeight="1">
      <c r="A12" s="18" t="s">
        <v>748</v>
      </c>
      <c r="B12" s="18" t="s">
        <v>718</v>
      </c>
      <c r="C12" s="18" t="s">
        <v>751</v>
      </c>
      <c r="D12" s="18"/>
      <c r="E12" s="18" t="s">
        <v>725</v>
      </c>
      <c r="F12" s="18" t="s">
        <v>605</v>
      </c>
      <c r="G12" s="37" t="s">
        <v>756</v>
      </c>
      <c r="H12" s="24" t="s">
        <v>486</v>
      </c>
      <c r="I12" s="24"/>
    </row>
    <row r="13" ht="42.0" customHeight="1">
      <c r="A13" s="18" t="s">
        <v>761</v>
      </c>
      <c r="B13" s="18" t="s">
        <v>763</v>
      </c>
      <c r="C13" s="18" t="s">
        <v>764</v>
      </c>
      <c r="D13" s="18"/>
      <c r="E13" s="18" t="s">
        <v>767</v>
      </c>
      <c r="F13" s="18" t="s">
        <v>442</v>
      </c>
      <c r="G13" s="18" t="s">
        <v>771</v>
      </c>
      <c r="H13" s="24" t="s">
        <v>486</v>
      </c>
      <c r="I13" s="24"/>
    </row>
    <row r="14" ht="42.0" customHeight="1">
      <c r="A14" s="37" t="s">
        <v>777</v>
      </c>
      <c r="B14" s="37" t="s">
        <v>763</v>
      </c>
      <c r="C14" s="37" t="s">
        <v>780</v>
      </c>
      <c r="D14" s="18"/>
      <c r="E14" s="37" t="s">
        <v>351</v>
      </c>
      <c r="F14" s="37" t="s">
        <v>783</v>
      </c>
      <c r="G14" s="37" t="s">
        <v>785</v>
      </c>
      <c r="H14" s="42" t="s">
        <v>486</v>
      </c>
      <c r="I14" s="24"/>
    </row>
    <row r="15" ht="42.0" customHeight="1">
      <c r="A15" s="37" t="s">
        <v>786</v>
      </c>
      <c r="B15" s="37" t="s">
        <v>787</v>
      </c>
      <c r="C15" s="37" t="s">
        <v>788</v>
      </c>
      <c r="D15" s="18"/>
      <c r="E15" s="37" t="s">
        <v>389</v>
      </c>
      <c r="F15" s="37" t="s">
        <v>789</v>
      </c>
      <c r="G15" s="37" t="s">
        <v>790</v>
      </c>
      <c r="H15" s="42" t="s">
        <v>486</v>
      </c>
      <c r="I15" s="24"/>
    </row>
    <row r="16" ht="42.0" customHeight="1">
      <c r="A16" s="18" t="s">
        <v>793</v>
      </c>
      <c r="B16" s="18" t="s">
        <v>763</v>
      </c>
      <c r="C16" s="18" t="s">
        <v>795</v>
      </c>
      <c r="D16" s="18"/>
      <c r="E16" s="18" t="s">
        <v>796</v>
      </c>
      <c r="F16" s="18" t="s">
        <v>797</v>
      </c>
      <c r="G16" s="18" t="s">
        <v>799</v>
      </c>
      <c r="H16" s="24" t="s">
        <v>486</v>
      </c>
      <c r="I16" s="24"/>
    </row>
    <row r="17" ht="42.0" customHeight="1">
      <c r="A17" s="18" t="s">
        <v>801</v>
      </c>
      <c r="B17" s="18" t="s">
        <v>802</v>
      </c>
      <c r="C17" s="18" t="s">
        <v>804</v>
      </c>
      <c r="D17" s="18" t="s">
        <v>806</v>
      </c>
      <c r="E17" s="18" t="s">
        <v>46</v>
      </c>
      <c r="F17" s="18" t="s">
        <v>808</v>
      </c>
      <c r="G17" s="18" t="s">
        <v>809</v>
      </c>
      <c r="H17" s="24" t="s">
        <v>211</v>
      </c>
      <c r="I17" s="24"/>
    </row>
    <row r="18" ht="42.0" customHeight="1">
      <c r="A18" s="18" t="s">
        <v>812</v>
      </c>
      <c r="B18" s="18" t="s">
        <v>802</v>
      </c>
      <c r="C18" s="18" t="s">
        <v>813</v>
      </c>
      <c r="D18" s="18" t="s">
        <v>806</v>
      </c>
      <c r="E18" s="18" t="s">
        <v>816</v>
      </c>
      <c r="F18" s="18" t="s">
        <v>818</v>
      </c>
      <c r="G18" s="18" t="s">
        <v>819</v>
      </c>
      <c r="H18" s="24" t="s">
        <v>486</v>
      </c>
      <c r="I18" s="24"/>
    </row>
    <row r="19" ht="42.0" customHeight="1">
      <c r="A19" s="18" t="s">
        <v>820</v>
      </c>
      <c r="B19" s="18" t="s">
        <v>822</v>
      </c>
      <c r="C19" s="18" t="s">
        <v>824</v>
      </c>
      <c r="D19" s="18"/>
      <c r="E19" s="18" t="s">
        <v>44</v>
      </c>
      <c r="F19" s="18" t="s">
        <v>782</v>
      </c>
      <c r="G19" s="37" t="s">
        <v>829</v>
      </c>
      <c r="H19" s="24" t="s">
        <v>830</v>
      </c>
      <c r="I19" s="24"/>
    </row>
    <row r="20" ht="42.0" customHeight="1">
      <c r="A20" s="18" t="s">
        <v>832</v>
      </c>
      <c r="B20" s="18" t="s">
        <v>822</v>
      </c>
      <c r="C20" s="18" t="s">
        <v>837</v>
      </c>
      <c r="D20" s="18"/>
      <c r="E20" s="18" t="s">
        <v>44</v>
      </c>
      <c r="F20" s="18" t="s">
        <v>782</v>
      </c>
      <c r="G20" s="18" t="s">
        <v>838</v>
      </c>
      <c r="H20" s="24" t="s">
        <v>830</v>
      </c>
      <c r="I20" s="24"/>
    </row>
    <row r="21" ht="42.0" customHeight="1">
      <c r="A21" s="18" t="s">
        <v>839</v>
      </c>
      <c r="B21" s="18" t="s">
        <v>822</v>
      </c>
      <c r="C21" s="18" t="s">
        <v>840</v>
      </c>
      <c r="D21" s="18"/>
      <c r="E21" s="18" t="s">
        <v>44</v>
      </c>
      <c r="F21" s="18" t="s">
        <v>841</v>
      </c>
      <c r="G21" s="18" t="s">
        <v>842</v>
      </c>
      <c r="H21" s="24" t="s">
        <v>830</v>
      </c>
      <c r="I21" s="24"/>
    </row>
    <row r="22" ht="42.0" customHeight="1">
      <c r="A22" s="18" t="s">
        <v>843</v>
      </c>
      <c r="B22" s="18" t="s">
        <v>822</v>
      </c>
      <c r="C22" s="18" t="s">
        <v>844</v>
      </c>
      <c r="D22" s="18"/>
      <c r="E22" s="18" t="s">
        <v>845</v>
      </c>
      <c r="F22" s="18" t="s">
        <v>753</v>
      </c>
      <c r="G22" s="18" t="s">
        <v>846</v>
      </c>
      <c r="H22" s="24" t="s">
        <v>830</v>
      </c>
      <c r="I22" s="24"/>
    </row>
    <row r="23" ht="42.0" customHeight="1">
      <c r="A23" s="18" t="s">
        <v>847</v>
      </c>
      <c r="B23" s="18" t="s">
        <v>848</v>
      </c>
      <c r="C23" s="18" t="s">
        <v>849</v>
      </c>
      <c r="D23" s="18"/>
      <c r="E23" s="18" t="s">
        <v>850</v>
      </c>
      <c r="F23" s="18" t="s">
        <v>765</v>
      </c>
      <c r="G23" s="18" t="s">
        <v>851</v>
      </c>
      <c r="H23" s="24" t="s">
        <v>830</v>
      </c>
      <c r="I23" s="24"/>
    </row>
    <row r="24" ht="42.0" customHeight="1">
      <c r="A24" s="18" t="s">
        <v>852</v>
      </c>
      <c r="B24" s="18" t="s">
        <v>848</v>
      </c>
      <c r="C24" s="18" t="s">
        <v>853</v>
      </c>
      <c r="D24" s="18"/>
      <c r="E24" s="18" t="s">
        <v>854</v>
      </c>
      <c r="F24" s="18" t="s">
        <v>855</v>
      </c>
      <c r="G24" s="18" t="s">
        <v>856</v>
      </c>
      <c r="H24" s="24" t="s">
        <v>830</v>
      </c>
      <c r="I24" s="24"/>
    </row>
    <row r="25" ht="42.0" customHeight="1">
      <c r="A25" s="18" t="s">
        <v>857</v>
      </c>
      <c r="B25" s="18" t="s">
        <v>858</v>
      </c>
      <c r="C25" s="18" t="s">
        <v>859</v>
      </c>
      <c r="D25" s="18" t="s">
        <v>860</v>
      </c>
      <c r="E25" s="18" t="s">
        <v>861</v>
      </c>
      <c r="F25" s="18" t="s">
        <v>602</v>
      </c>
      <c r="G25" s="18" t="s">
        <v>862</v>
      </c>
      <c r="H25" s="24" t="s">
        <v>863</v>
      </c>
      <c r="I25" s="24"/>
    </row>
    <row r="26" ht="42.0" customHeight="1">
      <c r="A26" s="18" t="s">
        <v>864</v>
      </c>
      <c r="B26" s="18" t="s">
        <v>858</v>
      </c>
      <c r="C26" s="18" t="s">
        <v>865</v>
      </c>
      <c r="D26" s="18" t="s">
        <v>866</v>
      </c>
      <c r="E26" s="18" t="s">
        <v>867</v>
      </c>
      <c r="F26" s="18" t="s">
        <v>868</v>
      </c>
      <c r="G26" s="18" t="s">
        <v>869</v>
      </c>
      <c r="H26" s="24" t="s">
        <v>863</v>
      </c>
      <c r="I26" s="24"/>
    </row>
    <row r="27" ht="42.0" customHeight="1">
      <c r="A27" s="18" t="s">
        <v>870</v>
      </c>
      <c r="B27" s="18" t="s">
        <v>858</v>
      </c>
      <c r="C27" s="18" t="s">
        <v>871</v>
      </c>
      <c r="D27" s="18" t="s">
        <v>866</v>
      </c>
      <c r="E27" s="18" t="s">
        <v>872</v>
      </c>
      <c r="F27" s="18" t="s">
        <v>873</v>
      </c>
      <c r="G27" s="18" t="s">
        <v>874</v>
      </c>
      <c r="H27" s="24" t="s">
        <v>875</v>
      </c>
      <c r="I27" s="24"/>
    </row>
    <row r="28" ht="42.0" customHeight="1">
      <c r="A28" s="18" t="s">
        <v>876</v>
      </c>
      <c r="B28" s="18" t="s">
        <v>858</v>
      </c>
      <c r="C28" s="18" t="s">
        <v>877</v>
      </c>
      <c r="D28" s="18" t="s">
        <v>878</v>
      </c>
      <c r="E28" s="40" t="s">
        <v>879</v>
      </c>
      <c r="F28" s="18" t="s">
        <v>880</v>
      </c>
      <c r="G28" s="40" t="s">
        <v>881</v>
      </c>
      <c r="H28" s="24" t="s">
        <v>863</v>
      </c>
      <c r="I28" s="24"/>
    </row>
    <row r="29" ht="42.0" customHeight="1">
      <c r="A29" s="18" t="s">
        <v>882</v>
      </c>
      <c r="B29" s="18" t="s">
        <v>883</v>
      </c>
      <c r="C29" s="18" t="s">
        <v>884</v>
      </c>
      <c r="D29" s="18"/>
      <c r="E29" s="18" t="s">
        <v>861</v>
      </c>
      <c r="F29" s="18" t="s">
        <v>605</v>
      </c>
      <c r="G29" s="18" t="s">
        <v>885</v>
      </c>
      <c r="H29" s="24" t="s">
        <v>886</v>
      </c>
      <c r="I29" s="24"/>
    </row>
    <row r="30" ht="42.0" customHeight="1">
      <c r="A30" s="18" t="s">
        <v>887</v>
      </c>
      <c r="B30" s="18" t="s">
        <v>883</v>
      </c>
      <c r="C30" s="18" t="s">
        <v>888</v>
      </c>
      <c r="D30" s="18"/>
      <c r="E30" s="18" t="s">
        <v>889</v>
      </c>
      <c r="F30" s="18" t="s">
        <v>890</v>
      </c>
      <c r="G30" s="18" t="s">
        <v>891</v>
      </c>
      <c r="H30" s="24" t="s">
        <v>886</v>
      </c>
      <c r="I30" s="24"/>
    </row>
    <row r="31" ht="42.0" customHeight="1">
      <c r="A31" s="18" t="s">
        <v>892</v>
      </c>
      <c r="B31" s="18" t="s">
        <v>883</v>
      </c>
      <c r="C31" s="40" t="s">
        <v>893</v>
      </c>
      <c r="D31" s="18"/>
      <c r="E31" s="37" t="s">
        <v>894</v>
      </c>
      <c r="F31" s="37" t="s">
        <v>816</v>
      </c>
      <c r="G31" s="37" t="s">
        <v>895</v>
      </c>
      <c r="H31" s="24" t="s">
        <v>896</v>
      </c>
      <c r="I31" s="24"/>
    </row>
    <row r="32" ht="42.0" customHeight="1">
      <c r="A32" s="18" t="s">
        <v>897</v>
      </c>
      <c r="B32" s="18" t="s">
        <v>898</v>
      </c>
      <c r="C32" s="18" t="s">
        <v>899</v>
      </c>
      <c r="D32" s="18" t="s">
        <v>290</v>
      </c>
      <c r="E32" s="37" t="s">
        <v>900</v>
      </c>
      <c r="F32" s="37" t="s">
        <v>901</v>
      </c>
      <c r="G32" s="40" t="s">
        <v>902</v>
      </c>
      <c r="H32" s="24" t="s">
        <v>830</v>
      </c>
      <c r="I32" s="24" t="s">
        <v>290</v>
      </c>
    </row>
    <row r="33" ht="42.0" customHeight="1">
      <c r="A33" s="18" t="s">
        <v>903</v>
      </c>
      <c r="B33" s="18" t="s">
        <v>883</v>
      </c>
      <c r="C33" s="18" t="s">
        <v>904</v>
      </c>
      <c r="D33" s="18"/>
      <c r="E33" s="18" t="s">
        <v>816</v>
      </c>
      <c r="F33" s="18" t="s">
        <v>905</v>
      </c>
      <c r="G33" s="18" t="s">
        <v>906</v>
      </c>
      <c r="H33" s="24" t="s">
        <v>907</v>
      </c>
      <c r="I33" s="24"/>
    </row>
    <row r="34" ht="42.0" customHeight="1">
      <c r="A34" s="18" t="s">
        <v>908</v>
      </c>
      <c r="B34" s="18" t="s">
        <v>883</v>
      </c>
      <c r="C34" s="18" t="s">
        <v>909</v>
      </c>
      <c r="D34" s="18"/>
      <c r="E34" s="18" t="s">
        <v>816</v>
      </c>
      <c r="F34" s="18" t="s">
        <v>910</v>
      </c>
      <c r="G34" s="18" t="s">
        <v>911</v>
      </c>
      <c r="H34" s="24" t="s">
        <v>886</v>
      </c>
      <c r="I34" s="24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autoFilter ref="$A$1:$I$34"/>
  <printOptions/>
  <pageMargins bottom="0.75" footer="0.0" header="0.0" left="0.7" right="0.7" top="0.75"/>
  <pageSetup orientation="landscape"/>
  <drawing r:id="rId1"/>
</worksheet>
</file>